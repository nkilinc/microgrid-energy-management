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styles.xml" ContentType="application/vnd.openxmlformats-officedocument.spreadsheetml.style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4"/>
  </bookViews>
  <sheets>
    <sheet name="OCAK" sheetId="1" state="visible" r:id="rId3"/>
    <sheet name="ŞUBAT" sheetId="2" state="visible" r:id="rId4"/>
    <sheet name="MART" sheetId="3" state="visible" r:id="rId5"/>
    <sheet name="NİSAN" sheetId="4" state="visible" r:id="rId6"/>
    <sheet name="MAYIS" sheetId="5" state="visible" r:id="rId7"/>
    <sheet name="HAZİRAN" sheetId="6" state="visible" r:id="rId8"/>
    <sheet name="TEMMUZ" sheetId="7" state="visible" r:id="rId9"/>
    <sheet name="AĞUSTOS" sheetId="8" state="visible" r:id="rId10"/>
    <sheet name="EYLÜL" sheetId="9" state="visible" r:id="rId11"/>
    <sheet name="EKİM" sheetId="10" state="visible" r:id="rId12"/>
    <sheet name="KASIM" sheetId="11" state="visible" r:id="rId13"/>
    <sheet name="ARALIK" sheetId="12" state="visible" r:id="rId14"/>
    <sheet name="AYLIK" sheetId="13" state="visible" r:id="rId1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<sst xmlns="http://schemas.openxmlformats.org/spreadsheetml/2006/main" count="147" uniqueCount="25">
  <si>
    <t xml:space="preserve">Saat</t>
  </si>
  <si>
    <t xml:space="preserve">Rüzgar Hızı (m/s)</t>
  </si>
  <si>
    <r>
      <rPr>
        <b val="true"/>
        <sz val="11"/>
        <color rgb="FF000000"/>
        <rFont val="Calibri"/>
        <family val="2"/>
        <charset val="162"/>
      </rPr>
      <t xml:space="preserve">Sıcaklık (</t>
    </r>
    <r>
      <rPr>
        <b val="true"/>
        <vertAlign val="superscript"/>
        <sz val="11"/>
        <color rgb="FF000000"/>
        <rFont val="Calibri"/>
        <family val="2"/>
        <charset val="162"/>
      </rPr>
      <t xml:space="preserve">o</t>
    </r>
    <r>
      <rPr>
        <b val="true"/>
        <sz val="11"/>
        <color rgb="FF000000"/>
        <rFont val="Calibri"/>
        <family val="2"/>
        <charset val="162"/>
      </rPr>
      <t xml:space="preserve">C)</t>
    </r>
  </si>
  <si>
    <t xml:space="preserve">Hava Yoğunluğu (kg/m³) </t>
  </si>
  <si>
    <t xml:space="preserve">Rotor Alanı (m²) </t>
  </si>
  <si>
    <t xml:space="preserve">Türbin Sayısı</t>
  </si>
  <si>
    <t xml:space="preserve">Cp </t>
  </si>
  <si>
    <t xml:space="preserve">Verim </t>
  </si>
  <si>
    <t xml:space="preserve">Üretilen Güç (kW)</t>
  </si>
  <si>
    <t xml:space="preserve">TOPLAM</t>
  </si>
  <si>
    <t xml:space="preserve">Meteoroloji</t>
  </si>
  <si>
    <t xml:space="preserve">Aylar</t>
  </si>
  <si>
    <t xml:space="preserve">Üretilen Enerji (kWh)</t>
  </si>
  <si>
    <t xml:space="preserve">Ocak</t>
  </si>
  <si>
    <t xml:space="preserve">Şubat</t>
  </si>
  <si>
    <t xml:space="preserve">Mart</t>
  </si>
  <si>
    <t xml:space="preserve">Nisan</t>
  </si>
  <si>
    <t xml:space="preserve">Mayıs</t>
  </si>
  <si>
    <t xml:space="preserve">Haziran</t>
  </si>
  <si>
    <t xml:space="preserve">Temmuz</t>
  </si>
  <si>
    <t xml:space="preserve">Ağustos</t>
  </si>
  <si>
    <t xml:space="preserve">Eylül</t>
  </si>
  <si>
    <t xml:space="preserve">Ekim</t>
  </si>
  <si>
    <t xml:space="preserve">Kasım</t>
  </si>
  <si>
    <t xml:space="preserve">Aralık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</si>
</sst>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_-* #,##0.00_-;\-* #,##0.00_-;_-* \-??_-;_-@_-"/>
    <numFmt numFmtId="166" formatCode="%0"/>
    <numFmt numFmtId="167" formatCode="hh:mm"/>
    <numFmt numFmtId="168" formatCode="0"/>
    <numFmt numFmtId="169" formatCode="0.0"/>
  </numFmts>
  <fonts count="9">
    <font>
      <sz val="11"/>
      <color theme="1"/>
      <name val="Calibri"/>
      <family val="2"/>
      <charset val="162"/>
    </font>
    <font>
      <sz val="10"/>
      <name val="Arial"/>
      <family val="0"/>
      <charset val="162"/>
    </font>
    <font>
      <sz val="10"/>
      <name val="Arial"/>
      <family val="0"/>
      <charset val="162"/>
    </font>
    <font>
      <sz val="10"/>
      <name val="Arial"/>
      <family val="0"/>
      <charset val="162"/>
    </font>
    <font>
      <b val="true"/>
      <sz val="11"/>
      <color theme="1"/>
      <name val="Calibri"/>
      <family val="2"/>
      <charset val="162"/>
    </font>
    <font>
      <b val="true"/>
      <sz val="11"/>
      <color rgb="FF000000"/>
      <name val="Calibri"/>
      <family val="2"/>
      <charset val="162"/>
    </font>
    <font>
      <b val="true"/>
      <vertAlign val="superscript"/>
      <sz val="11"/>
      <color rgb="FF000000"/>
      <name val="Calibri"/>
      <family val="2"/>
      <charset val="162"/>
    </font>
    <font>
      <sz val="14"/>
      <color rgb="FF595959"/>
      <name val="Calibri"/>
      <family val="2"/>
    </font>
    <font>
      <sz val="9"/>
      <color rgb="FF595959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9" tint="0.5999"/>
        <bgColor rgb="FFD9D9D9"/>
      </patternFill>
    </fill>
  </fills>
  <borders count="1">
    <border diagonalUp="false" diagonalDown="false">
      <left/>
      <right/>
      <top/>
      <bottom/>
      <diagonal/>
    </border>
  </borders>
  <cellStyleXfs count="24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false" applyAlignment="true" applyProtection="false">
      <alignment horizontal="general" vertical="bottom" textRotation="0" wrapText="false" indent="0" shrinkToFit="false"/>
    </xf>
    <xf numFmtId="166" fontId="0" fillId="0" borderId="0" applyFont="true" applyBorder="false" applyAlignment="true" applyProtection="false">
      <alignment horizontal="general" vertical="bottom" textRotation="0" wrapText="false" indent="0" shrinkToFit="false"/>
    </xf>
  </cellStyleXfs>
  <cellXfs count="1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4" fillId="0" borderId="0" xfId="0" applyFont="true" applyBorder="false" applyAlignment="true" applyProtection="true">
      <alignment horizontal="center" vertical="bottom" textRotation="0" wrapText="true" indent="0" shrinkToFit="false"/>
      <protection locked="true" hidden="false"/>
    </xf>
    <xf numFmtId="164" fontId="4" fillId="2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7" fontId="0" fillId="0" borderId="0" xfId="0" applyFont="fals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center" vertical="bottom" textRotation="0" wrapText="true" indent="0" shrinkToFit="false"/>
      <protection locked="true" hidden="false"/>
    </xf>
    <xf numFmtId="168" fontId="4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8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right" vertical="bottom" textRotation="0" wrapText="false" indent="0" shrinkToFit="false"/>
      <protection locked="true" hidden="false"/>
    </xf>
    <xf numFmtId="168" fontId="0" fillId="0" borderId="0" xfId="0" applyFont="false" applyBorder="false" applyAlignment="true" applyProtection="true">
      <alignment horizontal="center" vertical="bottom" textRotation="0" wrapText="false" indent="0" shrinkToFit="false"/>
      <protection locked="true" hidden="false"/>
    </xf>
    <xf numFmtId="169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10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Normal 2" xfId="20"/>
    <cellStyle name="Normal 3" xfId="21"/>
    <cellStyle name="Virgül 2" xfId="22"/>
    <cellStyle name="Yüzde 2" xfId="23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5E0B4"/>
      <rgbColor rgb="FF808080"/>
      <rgbColor rgb="FF5B9BD5"/>
      <rgbColor rgb="FF993366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sz="1400" b="0" u="none" strike="noStrike">
                <a:solidFill>
                  <a:srgbClr val="595959"/>
                </a:solidFill>
                <a:uFillTx/>
                <a:latin typeface="Calibri"/>
                <a:ea typeface="DejaVu Sans"/>
              </a:rPr>
              <a:t>Üretilen Güç (kW)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OCAK!$I$2</c:f>
              <c:strCache>
                <c:ptCount val="1"/>
                <c:pt idx="0">
                  <c:v>Üretilen Güç (kW)</c:v>
                </c:pt>
              </c:strCache>
            </c:strRef>
          </c:tx>
          <c:spPr>
            <a:solidFill>
              <a:srgbClr val="5b9bd5"/>
            </a:solidFill>
            <a:ln w="12600">
              <a:noFill/>
            </a:ln>
          </c:spPr>
          <c:invertIfNegative val="0"/>
          <c:dLbls>
            <c:txPr>
              <a:bodyPr wrap="squar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Calibri"/>
                    <a:ea typeface="DejaVu Sans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OCAK!$A$3:$A$26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OCAK!$I$3:$I$26</c:f>
              <c:numCache>
                <c:formatCode>General</c:formatCode>
                <c:ptCount val="24"/>
                <c:pt idx="0">
                  <c:v>15.502032</c:v>
                </c:pt>
                <c:pt idx="1">
                  <c:v>18.34284375</c:v>
                </c:pt>
                <c:pt idx="2">
                  <c:v>21.511098</c:v>
                </c:pt>
                <c:pt idx="3">
                  <c:v>25.02465525</c:v>
                </c:pt>
                <c:pt idx="4">
                  <c:v>28.901376</c:v>
                </c:pt>
                <c:pt idx="5">
                  <c:v>33.15912075</c:v>
                </c:pt>
                <c:pt idx="6">
                  <c:v>37.81575</c:v>
                </c:pt>
                <c:pt idx="7">
                  <c:v>42.88912425</c:v>
                </c:pt>
                <c:pt idx="8">
                  <c:v>48.397104</c:v>
                </c:pt>
                <c:pt idx="9">
                  <c:v>54.35754975</c:v>
                </c:pt>
                <c:pt idx="10">
                  <c:v>58.59137025</c:v>
                </c:pt>
                <c:pt idx="11">
                  <c:v>63.03951675</c:v>
                </c:pt>
                <c:pt idx="12">
                  <c:v>56.448</c:v>
                </c:pt>
                <c:pt idx="13">
                  <c:v>50.33276325</c:v>
                </c:pt>
                <c:pt idx="14">
                  <c:v>44.675946</c:v>
                </c:pt>
                <c:pt idx="15">
                  <c:v>39.45968775</c:v>
                </c:pt>
                <c:pt idx="16">
                  <c:v>34.666128</c:v>
                </c:pt>
                <c:pt idx="17">
                  <c:v>30.27740625</c:v>
                </c:pt>
                <c:pt idx="18">
                  <c:v>26.275662</c:v>
                </c:pt>
                <c:pt idx="19">
                  <c:v>22.64303475</c:v>
                </c:pt>
                <c:pt idx="20">
                  <c:v>19.361664</c:v>
                </c:pt>
                <c:pt idx="21">
                  <c:v>17.360406</c:v>
                </c:pt>
                <c:pt idx="22">
                  <c:v>16.41368925</c:v>
                </c:pt>
                <c:pt idx="23">
                  <c:v>14.62477275</c:v>
                </c:pt>
              </c:numCache>
            </c:numRef>
          </c:val>
        </c:ser>
        <c:gapWidth val="219"/>
        <c:overlap val="-27"/>
        <c:axId val="90194748"/>
        <c:axId val="43695779"/>
      </c:barChart>
      <c:catAx>
        <c:axId val="90194748"/>
        <c:scaling>
          <c:orientation val="minMax"/>
        </c:scaling>
        <c:delete val="0"/>
        <c:axPos val="b"/>
        <c:numFmt formatCode="h:mm" sourceLinked="0"/>
        <c:majorTickMark val="none"/>
        <c:minorTickMark val="none"/>
        <c:tickLblPos val="nextTo"/>
        <c:spPr>
          <a:ln w="9360">
            <a:solidFill>
              <a:srgbClr val="d9d9d9"/>
            </a:solidFill>
            <a:round/>
          </a:ln>
        </c:spPr>
        <c:txPr>
          <a:bodyPr/>
          <a:lstStyle/>
          <a:p>
            <a:pPr>
              <a:defRPr sz="900" b="0" u="none" strike="noStrike">
                <a:solidFill>
                  <a:srgbClr val="595959"/>
                </a:solidFill>
                <a:uFillTx/>
                <a:latin typeface="Calibri"/>
                <a:ea typeface="DejaVu Sans"/>
              </a:defRPr>
            </a:pPr>
          </a:p>
        </c:txPr>
        <c:crossAx val="43695779"/>
        <c:crosses val="autoZero"/>
        <c:auto val="1"/>
        <c:lblAlgn val="ctr"/>
        <c:lblOffset val="100"/>
        <c:noMultiLvlLbl val="0"/>
      </c:catAx>
      <c:valAx>
        <c:axId val="43695779"/>
        <c:scaling>
          <c:orientation val="minMax"/>
        </c:scaling>
        <c:delete val="0"/>
        <c:axPos val="l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numFmt formatCode="0" sourceLinked="0"/>
        <c:majorTickMark val="none"/>
        <c:minorTickMark val="none"/>
        <c:tickLblPos val="nextTo"/>
        <c:spPr>
          <a:ln w="6480">
            <a:noFill/>
          </a:ln>
        </c:spPr>
        <c:txPr>
          <a:bodyPr/>
          <a:lstStyle/>
          <a:p>
            <a:pPr>
              <a:defRPr sz="900" b="0" u="none" strike="noStrike">
                <a:solidFill>
                  <a:srgbClr val="595959"/>
                </a:solidFill>
                <a:uFillTx/>
                <a:latin typeface="Calibri"/>
                <a:ea typeface="DejaVu Sans"/>
              </a:defRPr>
            </a:pPr>
          </a:p>
        </c:txPr>
        <c:crossAx val="90194748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sz="1400" b="0" u="none" strike="noStrike">
                <a:solidFill>
                  <a:srgbClr val="595959"/>
                </a:solidFill>
                <a:uFillTx/>
                <a:latin typeface="Calibri"/>
                <a:ea typeface="DejaVu Sans"/>
              </a:rPr>
              <a:t>Üretilen Güç (kW)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ŞUBAT!$J$2</c:f>
              <c:strCache>
                <c:ptCount val="1"/>
                <c:pt idx="0">
                  <c:v/>
                </c:pt>
              </c:strCache>
            </c:strRef>
          </c:tx>
          <c:spPr>
            <a:solidFill>
              <a:srgbClr val="5b9bd5"/>
            </a:solidFill>
            <a:ln w="12600">
              <a:noFill/>
            </a:ln>
          </c:spPr>
          <c:invertIfNegative val="0"/>
          <c:dLbls>
            <c:txPr>
              <a:bodyPr wrap="squar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Calibri"/>
                    <a:ea typeface="DejaVu Sans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ŞUBAT!$A$3:$A$26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ŞUBAT!$I$3:$I$26</c:f>
              <c:numCache>
                <c:formatCode>General</c:formatCode>
                <c:ptCount val="24"/>
                <c:pt idx="0">
                  <c:v>13.78125</c:v>
                </c:pt>
                <c:pt idx="1">
                  <c:v>16.41368925</c:v>
                </c:pt>
                <c:pt idx="2">
                  <c:v>19.361664</c:v>
                </c:pt>
                <c:pt idx="3">
                  <c:v>22.64303475</c:v>
                </c:pt>
                <c:pt idx="4">
                  <c:v>26.275662</c:v>
                </c:pt>
                <c:pt idx="5">
                  <c:v>30.27740625</c:v>
                </c:pt>
                <c:pt idx="6">
                  <c:v>34.666128</c:v>
                </c:pt>
                <c:pt idx="7">
                  <c:v>39.45968775</c:v>
                </c:pt>
                <c:pt idx="8">
                  <c:v>44.675946</c:v>
                </c:pt>
                <c:pt idx="9">
                  <c:v>50.33276325</c:v>
                </c:pt>
                <c:pt idx="10">
                  <c:v>54.35754975</c:v>
                </c:pt>
                <c:pt idx="11">
                  <c:v>56.448</c:v>
                </c:pt>
                <c:pt idx="12">
                  <c:v>52.319358</c:v>
                </c:pt>
                <c:pt idx="13">
                  <c:v>46.51171875</c:v>
                </c:pt>
                <c:pt idx="14">
                  <c:v>41.150592</c:v>
                </c:pt>
                <c:pt idx="15">
                  <c:v>36.21811725</c:v>
                </c:pt>
                <c:pt idx="16">
                  <c:v>31.696434</c:v>
                </c:pt>
                <c:pt idx="17">
                  <c:v>27.56768175</c:v>
                </c:pt>
                <c:pt idx="18">
                  <c:v>23.814</c:v>
                </c:pt>
                <c:pt idx="19">
                  <c:v>20.41752825</c:v>
                </c:pt>
                <c:pt idx="20">
                  <c:v>17.360406</c:v>
                </c:pt>
                <c:pt idx="21">
                  <c:v>15.502032</c:v>
                </c:pt>
                <c:pt idx="22">
                  <c:v>14.62477275</c:v>
                </c:pt>
                <c:pt idx="23">
                  <c:v>13.78125</c:v>
                </c:pt>
              </c:numCache>
            </c:numRef>
          </c:val>
        </c:ser>
        <c:gapWidth val="219"/>
        <c:overlap val="-27"/>
        <c:axId val="77703916"/>
        <c:axId val="62096278"/>
      </c:barChart>
      <c:catAx>
        <c:axId val="77703916"/>
        <c:scaling>
          <c:orientation val="minMax"/>
        </c:scaling>
        <c:delete val="0"/>
        <c:axPos val="b"/>
        <c:numFmt formatCode="h:mm" sourceLinked="0"/>
        <c:majorTickMark val="none"/>
        <c:minorTickMark val="none"/>
        <c:tickLblPos val="nextTo"/>
        <c:spPr>
          <a:ln w="9360">
            <a:solidFill>
              <a:srgbClr val="d9d9d9"/>
            </a:solidFill>
            <a:round/>
          </a:ln>
        </c:spPr>
        <c:txPr>
          <a:bodyPr/>
          <a:lstStyle/>
          <a:p>
            <a:pPr>
              <a:defRPr sz="900" b="0" u="none" strike="noStrike">
                <a:solidFill>
                  <a:srgbClr val="595959"/>
                </a:solidFill>
                <a:uFillTx/>
                <a:latin typeface="Calibri"/>
                <a:ea typeface="DejaVu Sans"/>
              </a:defRPr>
            </a:pPr>
          </a:p>
        </c:txPr>
        <c:crossAx val="62096278"/>
        <c:crosses val="autoZero"/>
        <c:auto val="1"/>
        <c:lblAlgn val="ctr"/>
        <c:lblOffset val="100"/>
        <c:noMultiLvlLbl val="0"/>
      </c:catAx>
      <c:valAx>
        <c:axId val="62096278"/>
        <c:scaling>
          <c:orientation val="minMax"/>
        </c:scaling>
        <c:delete val="0"/>
        <c:axPos val="l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numFmt formatCode="0" sourceLinked="0"/>
        <c:majorTickMark val="none"/>
        <c:minorTickMark val="none"/>
        <c:tickLblPos val="nextTo"/>
        <c:spPr>
          <a:ln w="6480">
            <a:noFill/>
          </a:ln>
        </c:spPr>
        <c:txPr>
          <a:bodyPr/>
          <a:lstStyle/>
          <a:p>
            <a:pPr>
              <a:defRPr sz="900" b="0" u="none" strike="noStrike">
                <a:solidFill>
                  <a:srgbClr val="595959"/>
                </a:solidFill>
                <a:uFillTx/>
                <a:latin typeface="Calibri"/>
                <a:ea typeface="DejaVu Sans"/>
              </a:defRPr>
            </a:pPr>
          </a:p>
        </c:txPr>
        <c:crossAx val="77703916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sz="1400" b="0" u="none" strike="noStrike">
                <a:solidFill>
                  <a:srgbClr val="595959"/>
                </a:solidFill>
                <a:uFillTx/>
                <a:latin typeface="Calibri"/>
                <a:ea typeface="DejaVu Sans"/>
              </a:rPr>
              <a:t>Üretilen Güç (kW)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MART!$J$2</c:f>
              <c:strCache>
                <c:ptCount val="1"/>
                <c:pt idx="0">
                  <c:v/>
                </c:pt>
              </c:strCache>
            </c:strRef>
          </c:tx>
          <c:spPr>
            <a:solidFill>
              <a:srgbClr val="5b9bd5"/>
            </a:solidFill>
            <a:ln w="12600">
              <a:noFill/>
            </a:ln>
          </c:spPr>
          <c:invertIfNegative val="0"/>
          <c:dLbls>
            <c:txPr>
              <a:bodyPr wrap="squar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Calibri"/>
                    <a:ea typeface="DejaVu Sans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MART!$A$3:$A$26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MART!$I$3:$I$26</c:f>
              <c:numCache>
                <c:formatCode>General</c:formatCode>
                <c:ptCount val="24"/>
                <c:pt idx="0">
                  <c:v>12.192768</c:v>
                </c:pt>
                <c:pt idx="1">
                  <c:v>14.62477275</c:v>
                </c:pt>
                <c:pt idx="2">
                  <c:v>17.360406</c:v>
                </c:pt>
                <c:pt idx="3">
                  <c:v>20.41752825</c:v>
                </c:pt>
                <c:pt idx="4">
                  <c:v>23.814</c:v>
                </c:pt>
                <c:pt idx="5">
                  <c:v>27.56768175</c:v>
                </c:pt>
                <c:pt idx="6">
                  <c:v>31.696434</c:v>
                </c:pt>
                <c:pt idx="7">
                  <c:v>36.21811725</c:v>
                </c:pt>
                <c:pt idx="8">
                  <c:v>41.150592</c:v>
                </c:pt>
                <c:pt idx="9">
                  <c:v>46.51171875</c:v>
                </c:pt>
                <c:pt idx="10">
                  <c:v>50.33276325</c:v>
                </c:pt>
                <c:pt idx="11">
                  <c:v>52.319358</c:v>
                </c:pt>
                <c:pt idx="12">
                  <c:v>48.397104</c:v>
                </c:pt>
                <c:pt idx="13">
                  <c:v>42.88912425</c:v>
                </c:pt>
                <c:pt idx="14">
                  <c:v>37.81575</c:v>
                </c:pt>
                <c:pt idx="15">
                  <c:v>33.15912075</c:v>
                </c:pt>
                <c:pt idx="16">
                  <c:v>28.901376</c:v>
                </c:pt>
                <c:pt idx="17">
                  <c:v>25.02465525</c:v>
                </c:pt>
                <c:pt idx="18">
                  <c:v>21.511098</c:v>
                </c:pt>
                <c:pt idx="19">
                  <c:v>18.34284375</c:v>
                </c:pt>
                <c:pt idx="20">
                  <c:v>15.502032</c:v>
                </c:pt>
                <c:pt idx="21">
                  <c:v>13.78125</c:v>
                </c:pt>
                <c:pt idx="22">
                  <c:v>12.97080225</c:v>
                </c:pt>
                <c:pt idx="23">
                  <c:v>12.192768</c:v>
                </c:pt>
              </c:numCache>
            </c:numRef>
          </c:val>
        </c:ser>
        <c:gapWidth val="219"/>
        <c:overlap val="-27"/>
        <c:axId val="56539402"/>
        <c:axId val="26907213"/>
      </c:barChart>
      <c:catAx>
        <c:axId val="56539402"/>
        <c:scaling>
          <c:orientation val="minMax"/>
        </c:scaling>
        <c:delete val="0"/>
        <c:axPos val="b"/>
        <c:numFmt formatCode="h:mm" sourceLinked="0"/>
        <c:majorTickMark val="none"/>
        <c:minorTickMark val="none"/>
        <c:tickLblPos val="nextTo"/>
        <c:spPr>
          <a:ln w="9360">
            <a:solidFill>
              <a:srgbClr val="d9d9d9"/>
            </a:solidFill>
            <a:round/>
          </a:ln>
        </c:spPr>
        <c:txPr>
          <a:bodyPr/>
          <a:lstStyle/>
          <a:p>
            <a:pPr>
              <a:defRPr sz="900" b="0" u="none" strike="noStrike">
                <a:solidFill>
                  <a:srgbClr val="595959"/>
                </a:solidFill>
                <a:uFillTx/>
                <a:latin typeface="Calibri"/>
                <a:ea typeface="DejaVu Sans"/>
              </a:defRPr>
            </a:pPr>
          </a:p>
        </c:txPr>
        <c:crossAx val="26907213"/>
        <c:crosses val="autoZero"/>
        <c:auto val="1"/>
        <c:lblAlgn val="ctr"/>
        <c:lblOffset val="100"/>
        <c:noMultiLvlLbl val="0"/>
      </c:catAx>
      <c:valAx>
        <c:axId val="26907213"/>
        <c:scaling>
          <c:orientation val="minMax"/>
        </c:scaling>
        <c:delete val="0"/>
        <c:axPos val="l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numFmt formatCode="0" sourceLinked="0"/>
        <c:majorTickMark val="none"/>
        <c:minorTickMark val="none"/>
        <c:tickLblPos val="nextTo"/>
        <c:spPr>
          <a:ln w="6480">
            <a:noFill/>
          </a:ln>
        </c:spPr>
        <c:txPr>
          <a:bodyPr/>
          <a:lstStyle/>
          <a:p>
            <a:pPr>
              <a:defRPr sz="900" b="0" u="none" strike="noStrike">
                <a:solidFill>
                  <a:srgbClr val="595959"/>
                </a:solidFill>
                <a:uFillTx/>
                <a:latin typeface="Calibri"/>
                <a:ea typeface="DejaVu Sans"/>
              </a:defRPr>
            </a:pPr>
          </a:p>
        </c:txPr>
        <c:crossAx val="56539402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sz="1400" b="0" u="none" strike="noStrike">
                <a:solidFill>
                  <a:srgbClr val="595959"/>
                </a:solidFill>
                <a:uFillTx/>
                <a:latin typeface="Calibri"/>
                <a:ea typeface="DejaVu Sans"/>
              </a:rPr>
              <a:t>Üretilen Güç (kW)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NİSAN!$J$2</c:f>
              <c:strCache>
                <c:ptCount val="1"/>
                <c:pt idx="0">
                  <c:v/>
                </c:pt>
              </c:strCache>
            </c:strRef>
          </c:tx>
          <c:spPr>
            <a:solidFill>
              <a:srgbClr val="5b9bd5"/>
            </a:solidFill>
            <a:ln w="12600">
              <a:noFill/>
            </a:ln>
          </c:spPr>
          <c:invertIfNegative val="0"/>
          <c:dLbls>
            <c:txPr>
              <a:bodyPr wrap="squar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Calibri"/>
                    <a:ea typeface="DejaVu Sans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NİSAN!$A$3:$A$26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NİSAN!$I$3:$I$26</c:f>
              <c:numCache>
                <c:formatCode>General</c:formatCode>
                <c:ptCount val="24"/>
                <c:pt idx="0">
                  <c:v>10.04653125</c:v>
                </c:pt>
                <c:pt idx="1">
                  <c:v>12.192768</c:v>
                </c:pt>
                <c:pt idx="2">
                  <c:v>13.78125</c:v>
                </c:pt>
                <c:pt idx="3">
                  <c:v>16.41368925</c:v>
                </c:pt>
                <c:pt idx="4">
                  <c:v>19.361664</c:v>
                </c:pt>
                <c:pt idx="5">
                  <c:v>22.64303475</c:v>
                </c:pt>
                <c:pt idx="6">
                  <c:v>25.02465525</c:v>
                </c:pt>
                <c:pt idx="7">
                  <c:v>27.56768175</c:v>
                </c:pt>
                <c:pt idx="8">
                  <c:v>30.27740625</c:v>
                </c:pt>
                <c:pt idx="9">
                  <c:v>33.15912075</c:v>
                </c:pt>
                <c:pt idx="10">
                  <c:v>34.666128</c:v>
                </c:pt>
                <c:pt idx="11">
                  <c:v>36.21811725</c:v>
                </c:pt>
                <c:pt idx="12">
                  <c:v>33.15912075</c:v>
                </c:pt>
                <c:pt idx="13">
                  <c:v>30.27740625</c:v>
                </c:pt>
                <c:pt idx="14">
                  <c:v>27.56768175</c:v>
                </c:pt>
                <c:pt idx="15">
                  <c:v>23.814</c:v>
                </c:pt>
                <c:pt idx="16">
                  <c:v>21.511098</c:v>
                </c:pt>
                <c:pt idx="17">
                  <c:v>18.34284375</c:v>
                </c:pt>
                <c:pt idx="18">
                  <c:v>15.502032</c:v>
                </c:pt>
                <c:pt idx="19">
                  <c:v>13.78125</c:v>
                </c:pt>
                <c:pt idx="20">
                  <c:v>12.192768</c:v>
                </c:pt>
                <c:pt idx="21">
                  <c:v>10.731294</c:v>
                </c:pt>
                <c:pt idx="22">
                  <c:v>10.04653125</c:v>
                </c:pt>
                <c:pt idx="23">
                  <c:v>10.04653125</c:v>
                </c:pt>
              </c:numCache>
            </c:numRef>
          </c:val>
        </c:ser>
        <c:gapWidth val="219"/>
        <c:overlap val="-27"/>
        <c:axId val="46100300"/>
        <c:axId val="25802251"/>
      </c:barChart>
      <c:catAx>
        <c:axId val="46100300"/>
        <c:scaling>
          <c:orientation val="minMax"/>
        </c:scaling>
        <c:delete val="0"/>
        <c:axPos val="b"/>
        <c:numFmt formatCode="h:mm" sourceLinked="0"/>
        <c:majorTickMark val="none"/>
        <c:minorTickMark val="none"/>
        <c:tickLblPos val="nextTo"/>
        <c:spPr>
          <a:ln w="9360">
            <a:solidFill>
              <a:srgbClr val="d9d9d9"/>
            </a:solidFill>
            <a:round/>
          </a:ln>
        </c:spPr>
        <c:txPr>
          <a:bodyPr/>
          <a:lstStyle/>
          <a:p>
            <a:pPr>
              <a:defRPr sz="900" b="0" u="none" strike="noStrike">
                <a:solidFill>
                  <a:srgbClr val="595959"/>
                </a:solidFill>
                <a:uFillTx/>
                <a:latin typeface="Calibri"/>
                <a:ea typeface="DejaVu Sans"/>
              </a:defRPr>
            </a:pPr>
          </a:p>
        </c:txPr>
        <c:crossAx val="25802251"/>
        <c:crosses val="autoZero"/>
        <c:auto val="1"/>
        <c:lblAlgn val="ctr"/>
        <c:lblOffset val="100"/>
        <c:noMultiLvlLbl val="0"/>
      </c:catAx>
      <c:valAx>
        <c:axId val="25802251"/>
        <c:scaling>
          <c:orientation val="minMax"/>
        </c:scaling>
        <c:delete val="0"/>
        <c:axPos val="l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numFmt formatCode="0" sourceLinked="0"/>
        <c:majorTickMark val="none"/>
        <c:minorTickMark val="none"/>
        <c:tickLblPos val="nextTo"/>
        <c:spPr>
          <a:ln w="6480">
            <a:noFill/>
          </a:ln>
        </c:spPr>
        <c:txPr>
          <a:bodyPr/>
          <a:lstStyle/>
          <a:p>
            <a:pPr>
              <a:defRPr sz="900" b="0" u="none" strike="noStrike">
                <a:solidFill>
                  <a:srgbClr val="595959"/>
                </a:solidFill>
                <a:uFillTx/>
                <a:latin typeface="Calibri"/>
                <a:ea typeface="DejaVu Sans"/>
              </a:defRPr>
            </a:pPr>
          </a:p>
        </c:txPr>
        <c:crossAx val="46100300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sz="1400" b="0" u="none" strike="noStrike">
                <a:solidFill>
                  <a:srgbClr val="595959"/>
                </a:solidFill>
                <a:uFillTx/>
                <a:latin typeface="Calibri"/>
                <a:ea typeface="DejaVu Sans"/>
              </a:rPr>
              <a:t>Üretilen Güç (kW)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MAYIS!$J$2</c:f>
              <c:strCache>
                <c:ptCount val="1"/>
                <c:pt idx="0">
                  <c:v/>
                </c:pt>
              </c:strCache>
            </c:strRef>
          </c:tx>
          <c:spPr>
            <a:solidFill>
              <a:srgbClr val="5b9bd5"/>
            </a:solidFill>
            <a:ln w="12600">
              <a:noFill/>
            </a:ln>
          </c:spPr>
          <c:invertIfNegative val="0"/>
          <c:dLbls>
            <c:txPr>
              <a:bodyPr wrap="squar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Calibri"/>
                    <a:ea typeface="DejaVu Sans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MAYIS!$A$3:$A$26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MAYIS!$I$3:$I$26</c:f>
              <c:numCache>
                <c:formatCode>General</c:formatCode>
                <c:ptCount val="24"/>
                <c:pt idx="0">
                  <c:v>8.168202</c:v>
                </c:pt>
                <c:pt idx="1">
                  <c:v>10.04653125</c:v>
                </c:pt>
                <c:pt idx="2">
                  <c:v>11.44648575</c:v>
                </c:pt>
                <c:pt idx="3">
                  <c:v>13.78125</c:v>
                </c:pt>
                <c:pt idx="4">
                  <c:v>15.502032</c:v>
                </c:pt>
                <c:pt idx="5">
                  <c:v>18.34284375</c:v>
                </c:pt>
                <c:pt idx="6">
                  <c:v>20.41752825</c:v>
                </c:pt>
                <c:pt idx="7">
                  <c:v>22.64303475</c:v>
                </c:pt>
                <c:pt idx="8">
                  <c:v>25.02465525</c:v>
                </c:pt>
                <c:pt idx="9">
                  <c:v>27.56768175</c:v>
                </c:pt>
                <c:pt idx="10">
                  <c:v>30.27740625</c:v>
                </c:pt>
                <c:pt idx="11">
                  <c:v>31.696434</c:v>
                </c:pt>
                <c:pt idx="12">
                  <c:v>28.901376</c:v>
                </c:pt>
                <c:pt idx="13">
                  <c:v>26.275662</c:v>
                </c:pt>
                <c:pt idx="14">
                  <c:v>23.814</c:v>
                </c:pt>
                <c:pt idx="15">
                  <c:v>20.41752825</c:v>
                </c:pt>
                <c:pt idx="16">
                  <c:v>18.34284375</c:v>
                </c:pt>
                <c:pt idx="17">
                  <c:v>15.502032</c:v>
                </c:pt>
                <c:pt idx="18">
                  <c:v>13.78125</c:v>
                </c:pt>
                <c:pt idx="19">
                  <c:v>11.44648575</c:v>
                </c:pt>
                <c:pt idx="20">
                  <c:v>10.04653125</c:v>
                </c:pt>
                <c:pt idx="21">
                  <c:v>8.76564675</c:v>
                </c:pt>
                <c:pt idx="22">
                  <c:v>8.168202</c:v>
                </c:pt>
                <c:pt idx="23">
                  <c:v>8.168202</c:v>
                </c:pt>
              </c:numCache>
            </c:numRef>
          </c:val>
        </c:ser>
        <c:gapWidth val="219"/>
        <c:overlap val="-27"/>
        <c:axId val="31187655"/>
        <c:axId val="36613259"/>
      </c:barChart>
      <c:catAx>
        <c:axId val="31187655"/>
        <c:scaling>
          <c:orientation val="minMax"/>
        </c:scaling>
        <c:delete val="0"/>
        <c:axPos val="b"/>
        <c:numFmt formatCode="h:mm" sourceLinked="0"/>
        <c:majorTickMark val="none"/>
        <c:minorTickMark val="none"/>
        <c:tickLblPos val="nextTo"/>
        <c:spPr>
          <a:ln w="9360">
            <a:solidFill>
              <a:srgbClr val="d9d9d9"/>
            </a:solidFill>
            <a:round/>
          </a:ln>
        </c:spPr>
        <c:txPr>
          <a:bodyPr/>
          <a:lstStyle/>
          <a:p>
            <a:pPr>
              <a:defRPr sz="900" b="0" u="none" strike="noStrike">
                <a:solidFill>
                  <a:srgbClr val="595959"/>
                </a:solidFill>
                <a:uFillTx/>
                <a:latin typeface="Calibri"/>
                <a:ea typeface="DejaVu Sans"/>
              </a:defRPr>
            </a:pPr>
          </a:p>
        </c:txPr>
        <c:crossAx val="36613259"/>
        <c:crosses val="autoZero"/>
        <c:auto val="1"/>
        <c:lblAlgn val="ctr"/>
        <c:lblOffset val="100"/>
        <c:noMultiLvlLbl val="0"/>
      </c:catAx>
      <c:valAx>
        <c:axId val="36613259"/>
        <c:scaling>
          <c:orientation val="minMax"/>
        </c:scaling>
        <c:delete val="0"/>
        <c:axPos val="l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numFmt formatCode="0" sourceLinked="0"/>
        <c:majorTickMark val="none"/>
        <c:minorTickMark val="none"/>
        <c:tickLblPos val="nextTo"/>
        <c:spPr>
          <a:ln w="6480">
            <a:noFill/>
          </a:ln>
        </c:spPr>
        <c:txPr>
          <a:bodyPr/>
          <a:lstStyle/>
          <a:p>
            <a:pPr>
              <a:defRPr sz="900" b="0" u="none" strike="noStrike">
                <a:solidFill>
                  <a:srgbClr val="595959"/>
                </a:solidFill>
                <a:uFillTx/>
                <a:latin typeface="Calibri"/>
                <a:ea typeface="DejaVu Sans"/>
              </a:defRPr>
            </a:pPr>
          </a:p>
        </c:txPr>
        <c:crossAx val="31187655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sz="1400" b="0" u="none" strike="noStrike">
                <a:solidFill>
                  <a:srgbClr val="595959"/>
                </a:solidFill>
                <a:uFillTx/>
                <a:latin typeface="Calibri"/>
                <a:ea typeface="DejaVu Sans"/>
              </a:rPr>
              <a:t>Üretilen Güç (kW)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HAZİRAN!$J$2</c:f>
              <c:strCache>
                <c:ptCount val="1"/>
                <c:pt idx="0">
                  <c:v/>
                </c:pt>
              </c:strCache>
            </c:strRef>
          </c:tx>
          <c:spPr>
            <a:solidFill>
              <a:srgbClr val="5b9bd5"/>
            </a:solidFill>
            <a:ln w="12600">
              <a:noFill/>
            </a:ln>
          </c:spPr>
          <c:invertIfNegative val="0"/>
          <c:dLbls>
            <c:txPr>
              <a:bodyPr wrap="squar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Calibri"/>
                    <a:ea typeface="DejaVu Sans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HAZİRAN!$A$3:$A$26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HAZİRAN!$I$3:$I$26</c:f>
              <c:numCache>
                <c:formatCode>General</c:formatCode>
                <c:ptCount val="24"/>
                <c:pt idx="0">
                  <c:v>4.72696875</c:v>
                </c:pt>
                <c:pt idx="1">
                  <c:v>5.58449325</c:v>
                </c:pt>
                <c:pt idx="2">
                  <c:v>6.53991975</c:v>
                </c:pt>
                <c:pt idx="3">
                  <c:v>7.59854025</c:v>
                </c:pt>
                <c:pt idx="4">
                  <c:v>8.76564675</c:v>
                </c:pt>
                <c:pt idx="5">
                  <c:v>10.04653125</c:v>
                </c:pt>
                <c:pt idx="6">
                  <c:v>11.44648575</c:v>
                </c:pt>
                <c:pt idx="7">
                  <c:v>12.97080225</c:v>
                </c:pt>
                <c:pt idx="8">
                  <c:v>14.62477275</c:v>
                </c:pt>
                <c:pt idx="9">
                  <c:v>16.41368925</c:v>
                </c:pt>
                <c:pt idx="10">
                  <c:v>18.34284375</c:v>
                </c:pt>
                <c:pt idx="11">
                  <c:v>19.361664</c:v>
                </c:pt>
                <c:pt idx="12">
                  <c:v>17.360406</c:v>
                </c:pt>
                <c:pt idx="13">
                  <c:v>15.502032</c:v>
                </c:pt>
                <c:pt idx="14">
                  <c:v>13.78125</c:v>
                </c:pt>
                <c:pt idx="15">
                  <c:v>12.192768</c:v>
                </c:pt>
                <c:pt idx="16">
                  <c:v>10.731294</c:v>
                </c:pt>
                <c:pt idx="17">
                  <c:v>9.39153600000001</c:v>
                </c:pt>
                <c:pt idx="18">
                  <c:v>8.168202</c:v>
                </c:pt>
                <c:pt idx="19">
                  <c:v>7.056</c:v>
                </c:pt>
                <c:pt idx="20">
                  <c:v>6.049638</c:v>
                </c:pt>
                <c:pt idx="21">
                  <c:v>5.143824</c:v>
                </c:pt>
                <c:pt idx="22">
                  <c:v>4.72696875</c:v>
                </c:pt>
                <c:pt idx="23">
                  <c:v>4.72696875</c:v>
                </c:pt>
              </c:numCache>
            </c:numRef>
          </c:val>
        </c:ser>
        <c:gapWidth val="219"/>
        <c:overlap val="-27"/>
        <c:axId val="26081420"/>
        <c:axId val="72404740"/>
      </c:barChart>
      <c:catAx>
        <c:axId val="26081420"/>
        <c:scaling>
          <c:orientation val="minMax"/>
        </c:scaling>
        <c:delete val="0"/>
        <c:axPos val="b"/>
        <c:numFmt formatCode="h:mm" sourceLinked="0"/>
        <c:majorTickMark val="none"/>
        <c:minorTickMark val="none"/>
        <c:tickLblPos val="nextTo"/>
        <c:spPr>
          <a:ln w="9360">
            <a:solidFill>
              <a:srgbClr val="d9d9d9"/>
            </a:solidFill>
            <a:round/>
          </a:ln>
        </c:spPr>
        <c:txPr>
          <a:bodyPr/>
          <a:lstStyle/>
          <a:p>
            <a:pPr>
              <a:defRPr sz="900" b="0" u="none" strike="noStrike">
                <a:solidFill>
                  <a:srgbClr val="595959"/>
                </a:solidFill>
                <a:uFillTx/>
                <a:latin typeface="Calibri"/>
                <a:ea typeface="DejaVu Sans"/>
              </a:defRPr>
            </a:pPr>
          </a:p>
        </c:txPr>
        <c:crossAx val="72404740"/>
        <c:crosses val="autoZero"/>
        <c:auto val="1"/>
        <c:lblAlgn val="ctr"/>
        <c:lblOffset val="100"/>
        <c:noMultiLvlLbl val="0"/>
      </c:catAx>
      <c:valAx>
        <c:axId val="72404740"/>
        <c:scaling>
          <c:orientation val="minMax"/>
        </c:scaling>
        <c:delete val="0"/>
        <c:axPos val="l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numFmt formatCode="0" sourceLinked="0"/>
        <c:majorTickMark val="none"/>
        <c:minorTickMark val="none"/>
        <c:tickLblPos val="nextTo"/>
        <c:spPr>
          <a:ln w="6480">
            <a:noFill/>
          </a:ln>
        </c:spPr>
        <c:txPr>
          <a:bodyPr/>
          <a:lstStyle/>
          <a:p>
            <a:pPr>
              <a:defRPr sz="900" b="0" u="none" strike="noStrike">
                <a:solidFill>
                  <a:srgbClr val="595959"/>
                </a:solidFill>
                <a:uFillTx/>
                <a:latin typeface="Calibri"/>
                <a:ea typeface="DejaVu Sans"/>
              </a:defRPr>
            </a:pPr>
          </a:p>
        </c:txPr>
        <c:crossAx val="26081420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lang="tr-TR" sz="1400" b="0" u="none" strike="noStrike">
                <a:solidFill>
                  <a:srgbClr val="595959"/>
                </a:solidFill>
                <a:uFillTx/>
                <a:latin typeface="Calibri"/>
                <a:ea typeface="DejaVu Sans"/>
              </a:rPr>
              <a:t>Temmuz Ayı </a:t>
            </a:r>
            <a:r>
              <a:rPr lang="en-US" sz="1400" b="0" u="none" strike="noStrike">
                <a:solidFill>
                  <a:srgbClr val="595959"/>
                </a:solidFill>
                <a:uFillTx/>
                <a:latin typeface="Calibri"/>
                <a:ea typeface="DejaVu Sans"/>
              </a:rPr>
              <a:t>Üretilen Güç (kW)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TEMMUZ!$J$2</c:f>
              <c:strCache>
                <c:ptCount val="1"/>
                <c:pt idx="0">
                  <c:v/>
                </c:pt>
              </c:strCache>
            </c:strRef>
          </c:tx>
          <c:spPr>
            <a:solidFill>
              <a:srgbClr val="5b9bd5"/>
            </a:solidFill>
            <a:ln w="12600">
              <a:noFill/>
            </a:ln>
          </c:spPr>
          <c:invertIfNegative val="0"/>
          <c:dLbls>
            <c:txPr>
              <a:bodyPr wrap="squar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Calibri"/>
                    <a:ea typeface="DejaVu Sans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TEMMUZ!$A$3:$A$26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TEMMUZ!$I$3:$I$26</c:f>
              <c:numCache>
                <c:formatCode>General</c:formatCode>
                <c:ptCount val="24"/>
                <c:pt idx="0">
                  <c:v>3.612672</c:v>
                </c:pt>
                <c:pt idx="1">
                  <c:v>4.333266</c:v>
                </c:pt>
                <c:pt idx="2">
                  <c:v>5.143824</c:v>
                </c:pt>
                <c:pt idx="3">
                  <c:v>6.049638</c:v>
                </c:pt>
                <c:pt idx="4">
                  <c:v>7.056</c:v>
                </c:pt>
                <c:pt idx="5">
                  <c:v>8.168202</c:v>
                </c:pt>
                <c:pt idx="6">
                  <c:v>9.39153600000001</c:v>
                </c:pt>
                <c:pt idx="7">
                  <c:v>10.731294</c:v>
                </c:pt>
                <c:pt idx="8">
                  <c:v>12.192768</c:v>
                </c:pt>
                <c:pt idx="9">
                  <c:v>13.78125</c:v>
                </c:pt>
                <c:pt idx="10">
                  <c:v>15.502032</c:v>
                </c:pt>
                <c:pt idx="11">
                  <c:v>16.41368925</c:v>
                </c:pt>
                <c:pt idx="12">
                  <c:v>14.62477275</c:v>
                </c:pt>
                <c:pt idx="13">
                  <c:v>12.97080225</c:v>
                </c:pt>
                <c:pt idx="14">
                  <c:v>11.44648575</c:v>
                </c:pt>
                <c:pt idx="15">
                  <c:v>10.04653125</c:v>
                </c:pt>
                <c:pt idx="16">
                  <c:v>8.76564675</c:v>
                </c:pt>
                <c:pt idx="17">
                  <c:v>7.59854025</c:v>
                </c:pt>
                <c:pt idx="18">
                  <c:v>6.53991975</c:v>
                </c:pt>
                <c:pt idx="19">
                  <c:v>5.58449325</c:v>
                </c:pt>
                <c:pt idx="20">
                  <c:v>4.72696875</c:v>
                </c:pt>
                <c:pt idx="21">
                  <c:v>3.96205425</c:v>
                </c:pt>
                <c:pt idx="22">
                  <c:v>3.612672</c:v>
                </c:pt>
                <c:pt idx="23">
                  <c:v>3.612672</c:v>
                </c:pt>
              </c:numCache>
            </c:numRef>
          </c:val>
        </c:ser>
        <c:gapWidth val="219"/>
        <c:overlap val="-27"/>
        <c:axId val="9694804"/>
        <c:axId val="38807705"/>
      </c:barChart>
      <c:catAx>
        <c:axId val="9694804"/>
        <c:scaling>
          <c:orientation val="minMax"/>
        </c:scaling>
        <c:delete val="0"/>
        <c:axPos val="b"/>
        <c:numFmt formatCode="h:mm" sourceLinked="0"/>
        <c:majorTickMark val="none"/>
        <c:minorTickMark val="none"/>
        <c:tickLblPos val="nextTo"/>
        <c:spPr>
          <a:ln w="9360">
            <a:solidFill>
              <a:srgbClr val="d9d9d9"/>
            </a:solidFill>
            <a:round/>
          </a:ln>
        </c:spPr>
        <c:txPr>
          <a:bodyPr/>
          <a:lstStyle/>
          <a:p>
            <a:pPr>
              <a:defRPr sz="900" b="0" u="none" strike="noStrike">
                <a:solidFill>
                  <a:srgbClr val="595959"/>
                </a:solidFill>
                <a:uFillTx/>
                <a:latin typeface="Calibri"/>
                <a:ea typeface="DejaVu Sans"/>
              </a:defRPr>
            </a:pPr>
          </a:p>
        </c:txPr>
        <c:crossAx val="38807705"/>
        <c:crosses val="autoZero"/>
        <c:auto val="1"/>
        <c:lblAlgn val="ctr"/>
        <c:lblOffset val="100"/>
        <c:noMultiLvlLbl val="0"/>
      </c:catAx>
      <c:valAx>
        <c:axId val="38807705"/>
        <c:scaling>
          <c:orientation val="minMax"/>
        </c:scaling>
        <c:delete val="0"/>
        <c:axPos val="l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numFmt formatCode="0" sourceLinked="0"/>
        <c:majorTickMark val="none"/>
        <c:minorTickMark val="none"/>
        <c:tickLblPos val="nextTo"/>
        <c:spPr>
          <a:ln w="6480">
            <a:noFill/>
          </a:ln>
        </c:spPr>
        <c:txPr>
          <a:bodyPr/>
          <a:lstStyle/>
          <a:p>
            <a:pPr>
              <a:defRPr sz="900" b="0" u="none" strike="noStrike">
                <a:solidFill>
                  <a:srgbClr val="595959"/>
                </a:solidFill>
                <a:uFillTx/>
                <a:latin typeface="Calibri"/>
                <a:ea typeface="DejaVu Sans"/>
              </a:defRPr>
            </a:pPr>
          </a:p>
        </c:txPr>
        <c:crossAx val="9694804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sz="1400" b="0" u="none" strike="noStrike">
                <a:solidFill>
                  <a:srgbClr val="595959"/>
                </a:solidFill>
                <a:uFillTx/>
                <a:latin typeface="Calibri"/>
                <a:ea typeface="DejaVu Sans"/>
              </a:rPr>
              <a:t>Üretilen Güç (kW)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AĞUSTOS!$J$2</c:f>
              <c:strCache>
                <c:ptCount val="1"/>
                <c:pt idx="0">
                  <c:v/>
                </c:pt>
              </c:strCache>
            </c:strRef>
          </c:tx>
          <c:spPr>
            <a:solidFill>
              <a:srgbClr val="5b9bd5"/>
            </a:solidFill>
            <a:ln w="12600">
              <a:noFill/>
            </a:ln>
          </c:spPr>
          <c:invertIfNegative val="0"/>
          <c:dLbls>
            <c:txPr>
              <a:bodyPr wrap="squar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Calibri"/>
                    <a:ea typeface="DejaVu Sans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AĞUSTOS!$A$3:$A$26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AĞUSTOS!$I$3:$I$26</c:f>
              <c:numCache>
                <c:formatCode>General</c:formatCode>
                <c:ptCount val="24"/>
                <c:pt idx="0">
                  <c:v>3.96205425</c:v>
                </c:pt>
                <c:pt idx="1">
                  <c:v>4.72696875</c:v>
                </c:pt>
                <c:pt idx="2">
                  <c:v>5.58449325</c:v>
                </c:pt>
                <c:pt idx="3">
                  <c:v>6.53991975</c:v>
                </c:pt>
                <c:pt idx="4">
                  <c:v>7.59854025</c:v>
                </c:pt>
                <c:pt idx="5">
                  <c:v>8.76564675</c:v>
                </c:pt>
                <c:pt idx="6">
                  <c:v>10.04653125</c:v>
                </c:pt>
                <c:pt idx="7">
                  <c:v>11.44648575</c:v>
                </c:pt>
                <c:pt idx="8">
                  <c:v>12.97080225</c:v>
                </c:pt>
                <c:pt idx="9">
                  <c:v>14.62477275</c:v>
                </c:pt>
                <c:pt idx="10">
                  <c:v>16.41368925</c:v>
                </c:pt>
                <c:pt idx="11">
                  <c:v>17.360406</c:v>
                </c:pt>
                <c:pt idx="12">
                  <c:v>15.502032</c:v>
                </c:pt>
                <c:pt idx="13">
                  <c:v>13.78125</c:v>
                </c:pt>
                <c:pt idx="14">
                  <c:v>12.192768</c:v>
                </c:pt>
                <c:pt idx="15">
                  <c:v>10.731294</c:v>
                </c:pt>
                <c:pt idx="16">
                  <c:v>9.39153600000001</c:v>
                </c:pt>
                <c:pt idx="17">
                  <c:v>8.168202</c:v>
                </c:pt>
                <c:pt idx="18">
                  <c:v>7.056</c:v>
                </c:pt>
                <c:pt idx="19">
                  <c:v>6.049638</c:v>
                </c:pt>
                <c:pt idx="20">
                  <c:v>5.143824</c:v>
                </c:pt>
                <c:pt idx="21">
                  <c:v>4.333266</c:v>
                </c:pt>
                <c:pt idx="22">
                  <c:v>3.96205425</c:v>
                </c:pt>
                <c:pt idx="23">
                  <c:v>3.96205425</c:v>
                </c:pt>
              </c:numCache>
            </c:numRef>
          </c:val>
        </c:ser>
        <c:gapWidth val="219"/>
        <c:overlap val="-27"/>
        <c:axId val="78000339"/>
        <c:axId val="12911512"/>
      </c:barChart>
      <c:catAx>
        <c:axId val="78000339"/>
        <c:scaling>
          <c:orientation val="minMax"/>
        </c:scaling>
        <c:delete val="0"/>
        <c:axPos val="b"/>
        <c:numFmt formatCode="h:mm" sourceLinked="0"/>
        <c:majorTickMark val="none"/>
        <c:minorTickMark val="none"/>
        <c:tickLblPos val="nextTo"/>
        <c:spPr>
          <a:ln w="9360">
            <a:solidFill>
              <a:srgbClr val="d9d9d9"/>
            </a:solidFill>
            <a:round/>
          </a:ln>
        </c:spPr>
        <c:txPr>
          <a:bodyPr/>
          <a:lstStyle/>
          <a:p>
            <a:pPr>
              <a:defRPr sz="900" b="0" u="none" strike="noStrike">
                <a:solidFill>
                  <a:srgbClr val="595959"/>
                </a:solidFill>
                <a:uFillTx/>
                <a:latin typeface="Calibri"/>
                <a:ea typeface="DejaVu Sans"/>
              </a:defRPr>
            </a:pPr>
          </a:p>
        </c:txPr>
        <c:crossAx val="12911512"/>
        <c:crosses val="autoZero"/>
        <c:auto val="1"/>
        <c:lblAlgn val="ctr"/>
        <c:lblOffset val="100"/>
        <c:noMultiLvlLbl val="0"/>
      </c:catAx>
      <c:valAx>
        <c:axId val="12911512"/>
        <c:scaling>
          <c:orientation val="minMax"/>
        </c:scaling>
        <c:delete val="0"/>
        <c:axPos val="l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numFmt formatCode="0" sourceLinked="0"/>
        <c:majorTickMark val="none"/>
        <c:minorTickMark val="none"/>
        <c:tickLblPos val="nextTo"/>
        <c:spPr>
          <a:ln w="6480">
            <a:noFill/>
          </a:ln>
        </c:spPr>
        <c:txPr>
          <a:bodyPr/>
          <a:lstStyle/>
          <a:p>
            <a:pPr>
              <a:defRPr sz="900" b="0" u="none" strike="noStrike">
                <a:solidFill>
                  <a:srgbClr val="595959"/>
                </a:solidFill>
                <a:uFillTx/>
                <a:latin typeface="Calibri"/>
                <a:ea typeface="DejaVu Sans"/>
              </a:defRPr>
            </a:pPr>
          </a:p>
        </c:txPr>
        <c:crossAx val="78000339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sz="1400" b="0" u="none" strike="noStrike">
                <a:solidFill>
                  <a:srgbClr val="595959"/>
                </a:solidFill>
                <a:uFillTx/>
                <a:latin typeface="Calibri"/>
                <a:ea typeface="DejaVu Sans"/>
              </a:rPr>
              <a:t>Üretilen Güç (kW)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EYLÜL!$J$2</c:f>
              <c:strCache>
                <c:ptCount val="1"/>
                <c:pt idx="0">
                  <c:v/>
                </c:pt>
              </c:strCache>
            </c:strRef>
          </c:tx>
          <c:spPr>
            <a:solidFill>
              <a:srgbClr val="5b9bd5"/>
            </a:solidFill>
            <a:ln w="12600">
              <a:noFill/>
            </a:ln>
          </c:spPr>
          <c:invertIfNegative val="0"/>
          <c:dLbls>
            <c:txPr>
              <a:bodyPr wrap="squar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Calibri"/>
                    <a:ea typeface="DejaVu Sans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EYLÜL!$A$3:$A$26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EYLÜL!$I$3:$I$26</c:f>
              <c:numCache>
                <c:formatCode>General</c:formatCode>
                <c:ptCount val="24"/>
                <c:pt idx="0">
                  <c:v>7.056</c:v>
                </c:pt>
                <c:pt idx="1">
                  <c:v>8.76564675</c:v>
                </c:pt>
                <c:pt idx="2">
                  <c:v>10.731294</c:v>
                </c:pt>
                <c:pt idx="3">
                  <c:v>12.97080225</c:v>
                </c:pt>
                <c:pt idx="4">
                  <c:v>15.502032</c:v>
                </c:pt>
                <c:pt idx="5">
                  <c:v>18.34284375</c:v>
                </c:pt>
                <c:pt idx="6">
                  <c:v>21.511098</c:v>
                </c:pt>
                <c:pt idx="7">
                  <c:v>25.02465525</c:v>
                </c:pt>
                <c:pt idx="8">
                  <c:v>28.901376</c:v>
                </c:pt>
                <c:pt idx="9">
                  <c:v>33.15912075</c:v>
                </c:pt>
                <c:pt idx="10">
                  <c:v>36.21811725</c:v>
                </c:pt>
                <c:pt idx="11">
                  <c:v>37.81575</c:v>
                </c:pt>
                <c:pt idx="12">
                  <c:v>34.666128</c:v>
                </c:pt>
                <c:pt idx="13">
                  <c:v>30.27740625</c:v>
                </c:pt>
                <c:pt idx="14">
                  <c:v>26.275662</c:v>
                </c:pt>
                <c:pt idx="15">
                  <c:v>22.64303475</c:v>
                </c:pt>
                <c:pt idx="16">
                  <c:v>19.361664</c:v>
                </c:pt>
                <c:pt idx="17">
                  <c:v>16.41368925</c:v>
                </c:pt>
                <c:pt idx="18">
                  <c:v>13.78125</c:v>
                </c:pt>
                <c:pt idx="19">
                  <c:v>11.44648575</c:v>
                </c:pt>
                <c:pt idx="20">
                  <c:v>10.04653125</c:v>
                </c:pt>
                <c:pt idx="21">
                  <c:v>8.76564675</c:v>
                </c:pt>
                <c:pt idx="22">
                  <c:v>7.59854025</c:v>
                </c:pt>
                <c:pt idx="23">
                  <c:v>7.056</c:v>
                </c:pt>
              </c:numCache>
            </c:numRef>
          </c:val>
        </c:ser>
        <c:gapWidth val="219"/>
        <c:overlap val="-27"/>
        <c:axId val="48565739"/>
        <c:axId val="78582289"/>
      </c:barChart>
      <c:catAx>
        <c:axId val="48565739"/>
        <c:scaling>
          <c:orientation val="minMax"/>
        </c:scaling>
        <c:delete val="0"/>
        <c:axPos val="b"/>
        <c:numFmt formatCode="h:mm" sourceLinked="0"/>
        <c:majorTickMark val="none"/>
        <c:minorTickMark val="none"/>
        <c:tickLblPos val="nextTo"/>
        <c:spPr>
          <a:ln w="9360">
            <a:solidFill>
              <a:srgbClr val="d9d9d9"/>
            </a:solidFill>
            <a:round/>
          </a:ln>
        </c:spPr>
        <c:txPr>
          <a:bodyPr/>
          <a:lstStyle/>
          <a:p>
            <a:pPr>
              <a:defRPr sz="900" b="0" u="none" strike="noStrike">
                <a:solidFill>
                  <a:srgbClr val="595959"/>
                </a:solidFill>
                <a:uFillTx/>
                <a:latin typeface="Calibri"/>
                <a:ea typeface="DejaVu Sans"/>
              </a:defRPr>
            </a:pPr>
          </a:p>
        </c:txPr>
        <c:crossAx val="78582289"/>
        <c:crosses val="autoZero"/>
        <c:auto val="1"/>
        <c:lblAlgn val="ctr"/>
        <c:lblOffset val="100"/>
        <c:noMultiLvlLbl val="0"/>
      </c:catAx>
      <c:valAx>
        <c:axId val="78582289"/>
        <c:scaling>
          <c:orientation val="minMax"/>
        </c:scaling>
        <c:delete val="0"/>
        <c:axPos val="l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numFmt formatCode="0" sourceLinked="0"/>
        <c:majorTickMark val="none"/>
        <c:minorTickMark val="none"/>
        <c:tickLblPos val="nextTo"/>
        <c:spPr>
          <a:ln w="6480">
            <a:noFill/>
          </a:ln>
        </c:spPr>
        <c:txPr>
          <a:bodyPr/>
          <a:lstStyle/>
          <a:p>
            <a:pPr>
              <a:defRPr sz="900" b="0" u="none" strike="noStrike">
                <a:solidFill>
                  <a:srgbClr val="595959"/>
                </a:solidFill>
                <a:uFillTx/>
                <a:latin typeface="Calibri"/>
                <a:ea typeface="DejaVu Sans"/>
              </a:defRPr>
            </a:pPr>
          </a:p>
        </c:txPr>
        <c:crossAx val="48565739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sz="1400" b="0" u="none" strike="noStrike">
                <a:solidFill>
                  <a:srgbClr val="595959"/>
                </a:solidFill>
                <a:uFillTx/>
                <a:latin typeface="Calibri"/>
                <a:ea typeface="DejaVu Sans"/>
              </a:rPr>
              <a:t>Üretilen Güç (kW)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EKİM!$J$2</c:f>
              <c:strCache>
                <c:ptCount val="1"/>
                <c:pt idx="0">
                  <c:v/>
                </c:pt>
              </c:strCache>
            </c:strRef>
          </c:tx>
          <c:spPr>
            <a:solidFill>
              <a:srgbClr val="5b9bd5"/>
            </a:solidFill>
            <a:ln w="12600">
              <a:noFill/>
            </a:ln>
          </c:spPr>
          <c:invertIfNegative val="0"/>
          <c:dLbls>
            <c:txPr>
              <a:bodyPr wrap="squar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Calibri"/>
                    <a:ea typeface="DejaVu Sans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EKİM!$A$3:$A$26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EKİM!$I$3:$I$26</c:f>
              <c:numCache>
                <c:formatCode>General</c:formatCode>
                <c:ptCount val="24"/>
                <c:pt idx="0">
                  <c:v>10.04653125</c:v>
                </c:pt>
                <c:pt idx="1">
                  <c:v>12.192768</c:v>
                </c:pt>
                <c:pt idx="2">
                  <c:v>14.62477275</c:v>
                </c:pt>
                <c:pt idx="3">
                  <c:v>17.360406</c:v>
                </c:pt>
                <c:pt idx="4">
                  <c:v>20.41752825</c:v>
                </c:pt>
                <c:pt idx="5">
                  <c:v>23.814</c:v>
                </c:pt>
                <c:pt idx="6">
                  <c:v>27.56768175</c:v>
                </c:pt>
                <c:pt idx="7">
                  <c:v>31.696434</c:v>
                </c:pt>
                <c:pt idx="8">
                  <c:v>36.21811725</c:v>
                </c:pt>
                <c:pt idx="9">
                  <c:v>41.150592</c:v>
                </c:pt>
                <c:pt idx="10">
                  <c:v>44.675946</c:v>
                </c:pt>
                <c:pt idx="11">
                  <c:v>46.51171875</c:v>
                </c:pt>
                <c:pt idx="12">
                  <c:v>42.88912425</c:v>
                </c:pt>
                <c:pt idx="13">
                  <c:v>37.81575</c:v>
                </c:pt>
                <c:pt idx="14">
                  <c:v>33.15912075</c:v>
                </c:pt>
                <c:pt idx="15">
                  <c:v>28.901376</c:v>
                </c:pt>
                <c:pt idx="16">
                  <c:v>25.02465525</c:v>
                </c:pt>
                <c:pt idx="17">
                  <c:v>21.511098</c:v>
                </c:pt>
                <c:pt idx="18">
                  <c:v>18.34284375</c:v>
                </c:pt>
                <c:pt idx="19">
                  <c:v>15.502032</c:v>
                </c:pt>
                <c:pt idx="20">
                  <c:v>13.78125</c:v>
                </c:pt>
                <c:pt idx="21">
                  <c:v>12.192768</c:v>
                </c:pt>
                <c:pt idx="22">
                  <c:v>10.731294</c:v>
                </c:pt>
                <c:pt idx="23">
                  <c:v>10.04653125</c:v>
                </c:pt>
              </c:numCache>
            </c:numRef>
          </c:val>
        </c:ser>
        <c:gapWidth val="219"/>
        <c:overlap val="-27"/>
        <c:axId val="70096767"/>
        <c:axId val="85469772"/>
      </c:barChart>
      <c:catAx>
        <c:axId val="70096767"/>
        <c:scaling>
          <c:orientation val="minMax"/>
        </c:scaling>
        <c:delete val="0"/>
        <c:axPos val="b"/>
        <c:numFmt formatCode="h:mm" sourceLinked="0"/>
        <c:majorTickMark val="none"/>
        <c:minorTickMark val="none"/>
        <c:tickLblPos val="nextTo"/>
        <c:spPr>
          <a:ln w="9360">
            <a:solidFill>
              <a:srgbClr val="d9d9d9"/>
            </a:solidFill>
            <a:round/>
          </a:ln>
        </c:spPr>
        <c:txPr>
          <a:bodyPr/>
          <a:lstStyle/>
          <a:p>
            <a:pPr>
              <a:defRPr sz="900" b="0" u="none" strike="noStrike">
                <a:solidFill>
                  <a:srgbClr val="595959"/>
                </a:solidFill>
                <a:uFillTx/>
                <a:latin typeface="Calibri"/>
                <a:ea typeface="DejaVu Sans"/>
              </a:defRPr>
            </a:pPr>
          </a:p>
        </c:txPr>
        <c:crossAx val="85469772"/>
        <c:crosses val="autoZero"/>
        <c:auto val="1"/>
        <c:lblAlgn val="ctr"/>
        <c:lblOffset val="100"/>
        <c:noMultiLvlLbl val="0"/>
      </c:catAx>
      <c:valAx>
        <c:axId val="85469772"/>
        <c:scaling>
          <c:orientation val="minMax"/>
        </c:scaling>
        <c:delete val="0"/>
        <c:axPos val="l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numFmt formatCode="0" sourceLinked="0"/>
        <c:majorTickMark val="none"/>
        <c:minorTickMark val="none"/>
        <c:tickLblPos val="nextTo"/>
        <c:spPr>
          <a:ln w="6480">
            <a:noFill/>
          </a:ln>
        </c:spPr>
        <c:txPr>
          <a:bodyPr/>
          <a:lstStyle/>
          <a:p>
            <a:pPr>
              <a:defRPr sz="900" b="0" u="none" strike="noStrike">
                <a:solidFill>
                  <a:srgbClr val="595959"/>
                </a:solidFill>
                <a:uFillTx/>
                <a:latin typeface="Calibri"/>
                <a:ea typeface="DejaVu Sans"/>
              </a:defRPr>
            </a:pPr>
          </a:p>
        </c:txPr>
        <c:crossAx val="70096767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sz="1400" b="0" u="none" strike="noStrike">
                <a:solidFill>
                  <a:srgbClr val="595959"/>
                </a:solidFill>
                <a:uFillTx/>
                <a:latin typeface="Calibri"/>
                <a:ea typeface="DejaVu Sans"/>
              </a:rPr>
              <a:t>Üretilen Güç (kW)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KASIM!$J$2</c:f>
              <c:strCache>
                <c:ptCount val="1"/>
                <c:pt idx="0">
                  <c:v/>
                </c:pt>
              </c:strCache>
            </c:strRef>
          </c:tx>
          <c:spPr>
            <a:solidFill>
              <a:srgbClr val="5b9bd5"/>
            </a:solidFill>
            <a:ln w="12600">
              <a:noFill/>
            </a:ln>
          </c:spPr>
          <c:invertIfNegative val="0"/>
          <c:dLbls>
            <c:txPr>
              <a:bodyPr wrap="squar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Calibri"/>
                    <a:ea typeface="DejaVu Sans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KASIM!$A$3:$A$26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KASIM!$I$3:$I$26</c:f>
              <c:numCache>
                <c:formatCode>General</c:formatCode>
                <c:ptCount val="24"/>
                <c:pt idx="0">
                  <c:v>13.78125</c:v>
                </c:pt>
                <c:pt idx="1">
                  <c:v>16.41368925</c:v>
                </c:pt>
                <c:pt idx="2">
                  <c:v>19.361664</c:v>
                </c:pt>
                <c:pt idx="3">
                  <c:v>22.64303475</c:v>
                </c:pt>
                <c:pt idx="4">
                  <c:v>26.275662</c:v>
                </c:pt>
                <c:pt idx="5">
                  <c:v>30.27740625</c:v>
                </c:pt>
                <c:pt idx="6">
                  <c:v>34.666128</c:v>
                </c:pt>
                <c:pt idx="7">
                  <c:v>39.45968775</c:v>
                </c:pt>
                <c:pt idx="8">
                  <c:v>44.675946</c:v>
                </c:pt>
                <c:pt idx="9">
                  <c:v>50.33276325</c:v>
                </c:pt>
                <c:pt idx="10">
                  <c:v>54.35754975</c:v>
                </c:pt>
                <c:pt idx="11">
                  <c:v>56.448</c:v>
                </c:pt>
                <c:pt idx="12">
                  <c:v>52.319358</c:v>
                </c:pt>
                <c:pt idx="13">
                  <c:v>46.51171875</c:v>
                </c:pt>
                <c:pt idx="14">
                  <c:v>41.150592</c:v>
                </c:pt>
                <c:pt idx="15">
                  <c:v>36.21811725</c:v>
                </c:pt>
                <c:pt idx="16">
                  <c:v>31.696434</c:v>
                </c:pt>
                <c:pt idx="17">
                  <c:v>27.56768175</c:v>
                </c:pt>
                <c:pt idx="18">
                  <c:v>23.814</c:v>
                </c:pt>
                <c:pt idx="19">
                  <c:v>20.41752825</c:v>
                </c:pt>
                <c:pt idx="20">
                  <c:v>17.360406</c:v>
                </c:pt>
                <c:pt idx="21">
                  <c:v>15.502032</c:v>
                </c:pt>
                <c:pt idx="22">
                  <c:v>14.62477275</c:v>
                </c:pt>
                <c:pt idx="23">
                  <c:v>13.78125</c:v>
                </c:pt>
              </c:numCache>
            </c:numRef>
          </c:val>
        </c:ser>
        <c:gapWidth val="219"/>
        <c:overlap val="-27"/>
        <c:axId val="50702453"/>
        <c:axId val="21241494"/>
      </c:barChart>
      <c:catAx>
        <c:axId val="50702453"/>
        <c:scaling>
          <c:orientation val="minMax"/>
        </c:scaling>
        <c:delete val="0"/>
        <c:axPos val="b"/>
        <c:numFmt formatCode="h:mm" sourceLinked="0"/>
        <c:majorTickMark val="none"/>
        <c:minorTickMark val="none"/>
        <c:tickLblPos val="nextTo"/>
        <c:spPr>
          <a:ln w="9360">
            <a:solidFill>
              <a:srgbClr val="d9d9d9"/>
            </a:solidFill>
            <a:round/>
          </a:ln>
        </c:spPr>
        <c:txPr>
          <a:bodyPr/>
          <a:lstStyle/>
          <a:p>
            <a:pPr>
              <a:defRPr sz="900" b="0" u="none" strike="noStrike">
                <a:solidFill>
                  <a:srgbClr val="595959"/>
                </a:solidFill>
                <a:uFillTx/>
                <a:latin typeface="Calibri"/>
                <a:ea typeface="DejaVu Sans"/>
              </a:defRPr>
            </a:pPr>
          </a:p>
        </c:txPr>
        <c:crossAx val="21241494"/>
        <c:crosses val="autoZero"/>
        <c:auto val="1"/>
        <c:lblAlgn val="ctr"/>
        <c:lblOffset val="100"/>
        <c:noMultiLvlLbl val="0"/>
      </c:catAx>
      <c:valAx>
        <c:axId val="21241494"/>
        <c:scaling>
          <c:orientation val="minMax"/>
        </c:scaling>
        <c:delete val="0"/>
        <c:axPos val="l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numFmt formatCode="0" sourceLinked="0"/>
        <c:majorTickMark val="none"/>
        <c:minorTickMark val="none"/>
        <c:tickLblPos val="nextTo"/>
        <c:spPr>
          <a:ln w="6480">
            <a:noFill/>
          </a:ln>
        </c:spPr>
        <c:txPr>
          <a:bodyPr/>
          <a:lstStyle/>
          <a:p>
            <a:pPr>
              <a:defRPr sz="900" b="0" u="none" strike="noStrike">
                <a:solidFill>
                  <a:srgbClr val="595959"/>
                </a:solidFill>
                <a:uFillTx/>
                <a:latin typeface="Calibri"/>
                <a:ea typeface="DejaVu Sans"/>
              </a:defRPr>
            </a:pPr>
          </a:p>
        </c:txPr>
        <c:crossAx val="50702453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lang="tr-TR" sz="1400" b="0" u="none" strike="noStrike">
                <a:solidFill>
                  <a:srgbClr val="595959"/>
                </a:solidFill>
                <a:uFillTx/>
                <a:latin typeface="Calibri"/>
                <a:ea typeface="DejaVu Sans"/>
              </a:rPr>
              <a:t>Aralık Ayı </a:t>
            </a:r>
            <a:r>
              <a:rPr lang="en-US" sz="1400" b="0" u="none" strike="noStrike">
                <a:solidFill>
                  <a:srgbClr val="595959"/>
                </a:solidFill>
                <a:uFillTx/>
                <a:latin typeface="Calibri"/>
                <a:ea typeface="DejaVu Sans"/>
              </a:rPr>
              <a:t>Üretilen Güç (kW)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ARALIK!$J$2</c:f>
              <c:strCache>
                <c:ptCount val="1"/>
                <c:pt idx="0">
                  <c:v/>
                </c:pt>
              </c:strCache>
            </c:strRef>
          </c:tx>
          <c:spPr>
            <a:solidFill>
              <a:srgbClr val="5b9bd5"/>
            </a:solidFill>
            <a:ln w="12600">
              <a:noFill/>
            </a:ln>
          </c:spPr>
          <c:invertIfNegative val="0"/>
          <c:dLbls>
            <c:txPr>
              <a:bodyPr wrap="squar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Calibri"/>
                    <a:ea typeface="DejaVu Sans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ARALIK!$A$3:$A$26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ARALIK!$I$3:$I$26</c:f>
              <c:numCache>
                <c:formatCode>General</c:formatCode>
                <c:ptCount val="24"/>
                <c:pt idx="0">
                  <c:v>15.502032</c:v>
                </c:pt>
                <c:pt idx="1">
                  <c:v>18.34284375</c:v>
                </c:pt>
                <c:pt idx="2">
                  <c:v>21.511098</c:v>
                </c:pt>
                <c:pt idx="3">
                  <c:v>25.02465525</c:v>
                </c:pt>
                <c:pt idx="4">
                  <c:v>28.901376</c:v>
                </c:pt>
                <c:pt idx="5">
                  <c:v>33.15912075</c:v>
                </c:pt>
                <c:pt idx="6">
                  <c:v>37.81575</c:v>
                </c:pt>
                <c:pt idx="7">
                  <c:v>42.88912425</c:v>
                </c:pt>
                <c:pt idx="8">
                  <c:v>48.397104</c:v>
                </c:pt>
                <c:pt idx="9">
                  <c:v>54.35754975</c:v>
                </c:pt>
                <c:pt idx="10">
                  <c:v>58.59137025</c:v>
                </c:pt>
                <c:pt idx="11">
                  <c:v>63.03951675</c:v>
                </c:pt>
                <c:pt idx="12">
                  <c:v>56.448</c:v>
                </c:pt>
                <c:pt idx="13">
                  <c:v>50.33276325</c:v>
                </c:pt>
                <c:pt idx="14">
                  <c:v>44.675946</c:v>
                </c:pt>
                <c:pt idx="15">
                  <c:v>39.45968775</c:v>
                </c:pt>
                <c:pt idx="16">
                  <c:v>34.666128</c:v>
                </c:pt>
                <c:pt idx="17">
                  <c:v>30.27740625</c:v>
                </c:pt>
                <c:pt idx="18">
                  <c:v>26.275662</c:v>
                </c:pt>
                <c:pt idx="19">
                  <c:v>22.64303475</c:v>
                </c:pt>
                <c:pt idx="20">
                  <c:v>19.361664</c:v>
                </c:pt>
                <c:pt idx="21">
                  <c:v>17.360406</c:v>
                </c:pt>
                <c:pt idx="22">
                  <c:v>16.41368925</c:v>
                </c:pt>
                <c:pt idx="23">
                  <c:v>14.62477275</c:v>
                </c:pt>
              </c:numCache>
            </c:numRef>
          </c:val>
        </c:ser>
        <c:gapWidth val="219"/>
        <c:overlap val="-27"/>
        <c:axId val="41368801"/>
        <c:axId val="17313501"/>
      </c:barChart>
      <c:catAx>
        <c:axId val="41368801"/>
        <c:scaling>
          <c:orientation val="minMax"/>
        </c:scaling>
        <c:delete val="0"/>
        <c:axPos val="b"/>
        <c:numFmt formatCode="h:mm" sourceLinked="0"/>
        <c:majorTickMark val="none"/>
        <c:minorTickMark val="none"/>
        <c:tickLblPos val="nextTo"/>
        <c:spPr>
          <a:ln w="9360">
            <a:solidFill>
              <a:srgbClr val="d9d9d9"/>
            </a:solidFill>
            <a:round/>
          </a:ln>
        </c:spPr>
        <c:txPr>
          <a:bodyPr/>
          <a:lstStyle/>
          <a:p>
            <a:pPr>
              <a:defRPr sz="900" b="0" u="none" strike="noStrike">
                <a:solidFill>
                  <a:srgbClr val="595959"/>
                </a:solidFill>
                <a:uFillTx/>
                <a:latin typeface="Calibri"/>
                <a:ea typeface="DejaVu Sans"/>
              </a:defRPr>
            </a:pPr>
          </a:p>
        </c:txPr>
        <c:crossAx val="17313501"/>
        <c:crosses val="autoZero"/>
        <c:auto val="1"/>
        <c:lblAlgn val="ctr"/>
        <c:lblOffset val="100"/>
        <c:noMultiLvlLbl val="0"/>
      </c:catAx>
      <c:valAx>
        <c:axId val="17313501"/>
        <c:scaling>
          <c:orientation val="minMax"/>
        </c:scaling>
        <c:delete val="0"/>
        <c:axPos val="l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numFmt formatCode="0" sourceLinked="0"/>
        <c:majorTickMark val="none"/>
        <c:minorTickMark val="none"/>
        <c:tickLblPos val="nextTo"/>
        <c:spPr>
          <a:ln w="6480">
            <a:noFill/>
          </a:ln>
        </c:spPr>
        <c:txPr>
          <a:bodyPr/>
          <a:lstStyle/>
          <a:p>
            <a:pPr>
              <a:defRPr sz="900" b="0" u="none" strike="noStrike">
                <a:solidFill>
                  <a:srgbClr val="595959"/>
                </a:solidFill>
                <a:uFillTx/>
                <a:latin typeface="Calibri"/>
                <a:ea typeface="DejaVu Sans"/>
              </a:defRPr>
            </a:pPr>
          </a:p>
        </c:txPr>
        <c:crossAx val="41368801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_rels/drawing2.xml.rels><?xml version="1.0" encoding="UTF-8"?>
<Relationships xmlns="http://schemas.openxmlformats.org/package/2006/relationships"><Relationship Id="rId1" Type="http://schemas.openxmlformats.org/officeDocument/2006/relationships/chart" Target="../charts/chart2.xml"/>
</Relationships>
</file>

<file path=xl/drawings/_rels/drawing3.xml.rels><?xml version="1.0" encoding="UTF-8"?>
<Relationships xmlns="http://schemas.openxmlformats.org/package/2006/relationships"><Relationship Id="rId1" Type="http://schemas.openxmlformats.org/officeDocument/2006/relationships/chart" Target="../charts/chart3.xml"/>
</Relationships>
</file>

<file path=xl/drawings/_rels/drawing4.xml.rels><?xml version="1.0" encoding="UTF-8"?>
<Relationships xmlns="http://schemas.openxmlformats.org/package/2006/relationships"><Relationship Id="rId1" Type="http://schemas.openxmlformats.org/officeDocument/2006/relationships/chart" Target="../charts/chart4.xml"/>
</Relationships>
</file>

<file path=xl/drawings/_rels/drawing5.xml.rels><?xml version="1.0" encoding="UTF-8"?>
<Relationships xmlns="http://schemas.openxmlformats.org/package/2006/relationships"><Relationship Id="rId1" Type="http://schemas.openxmlformats.org/officeDocument/2006/relationships/chart" Target="../charts/chart5.xml"/>
</Relationships>
</file>

<file path=xl/drawings/_rels/drawing6.xml.rels><?xml version="1.0" encoding="UTF-8"?>
<Relationships xmlns="http://schemas.openxmlformats.org/package/2006/relationships"><Relationship Id="rId1" Type="http://schemas.openxmlformats.org/officeDocument/2006/relationships/chart" Target="../charts/chart6.xml"/>
</Relationships>
</file>

<file path=xl/drawings/_rels/drawing7.xml.rels><?xml version="1.0" encoding="UTF-8"?>
<Relationships xmlns="http://schemas.openxmlformats.org/package/2006/relationships"><Relationship Id="rId1" Type="http://schemas.openxmlformats.org/officeDocument/2006/relationships/chart" Target="../charts/chart7.xml"/>
</Relationships>
</file>

<file path=xl/drawings/_rels/drawing8.xml.rels><?xml version="1.0" encoding="UTF-8"?>
<Relationships xmlns="http://schemas.openxmlformats.org/package/2006/relationships"><Relationship Id="rId1" Type="http://schemas.openxmlformats.org/officeDocument/2006/relationships/chart" Target="../charts/chart8.xml"/>
</Relationships>
</file>

<file path=xl/drawings/_rels/drawing9.xml.rels><?xml version="1.0" encoding="UTF-8"?>
<Relationships xmlns="http://schemas.openxmlformats.org/package/2006/relationships"><Relationship Id="rId1" Type="http://schemas.openxmlformats.org/officeDocument/2006/relationships/chart" Target="../charts/chart9.xml"/>
</Relationships>
</file>

<file path=xl/drawings/_rels/drawing10.xml.rels><?xml version="1.0" encoding="UTF-8"?>
<Relationships xmlns="http://schemas.openxmlformats.org/package/2006/relationships"><Relationship Id="rId1" Type="http://schemas.openxmlformats.org/officeDocument/2006/relationships/chart" Target="../charts/chart10.xml"/>
</Relationships>
</file>

<file path=xl/drawings/_rels/drawing11.xml.rels><?xml version="1.0" encoding="UTF-8"?>
<Relationships xmlns="http://schemas.openxmlformats.org/package/2006/relationships"><Relationship Id="rId1" Type="http://schemas.openxmlformats.org/officeDocument/2006/relationships/chart" Target="../charts/chart11.xml"/>
</Relationships>
</file>

<file path=xl/drawings/_rels/drawing12.xml.rels><?xml version="1.0" encoding="UTF-8"?>
<Relationships xmlns="http://schemas.openxmlformats.org/package/2006/relationships"><Relationship Id="rId1" Type="http://schemas.openxmlformats.org/officeDocument/2006/relationships/chart" Target="../charts/chart12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10</xdr:col>
      <xdr:colOff>700920</xdr:colOff>
      <xdr:row>0</xdr:row>
      <xdr:rowOff>160200</xdr:rowOff>
    </xdr:from>
    <xdr:to>
      <xdr:col>18</xdr:col>
      <xdr:colOff>12960</xdr:colOff>
      <xdr:row>13</xdr:row>
      <xdr:rowOff>173160</xdr:rowOff>
    </xdr:to>
    <xdr:graphicFrame>
      <xdr:nvGraphicFramePr>
        <xdr:cNvPr id="1" name="Grafik 1"/>
        <xdr:cNvGraphicFramePr/>
      </xdr:nvGraphicFramePr>
      <xdr:xfrm>
        <a:off x="9987840" y="160200"/>
        <a:ext cx="4542480" cy="26042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11</xdr:col>
      <xdr:colOff>7560</xdr:colOff>
      <xdr:row>0</xdr:row>
      <xdr:rowOff>152280</xdr:rowOff>
    </xdr:from>
    <xdr:to>
      <xdr:col>18</xdr:col>
      <xdr:colOff>310320</xdr:colOff>
      <xdr:row>13</xdr:row>
      <xdr:rowOff>165240</xdr:rowOff>
    </xdr:to>
    <xdr:graphicFrame>
      <xdr:nvGraphicFramePr>
        <xdr:cNvPr id="2" name="Grafik 1"/>
        <xdr:cNvGraphicFramePr/>
      </xdr:nvGraphicFramePr>
      <xdr:xfrm>
        <a:off x="10117440" y="152280"/>
        <a:ext cx="4516560" cy="26042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11</xdr:col>
      <xdr:colOff>7560</xdr:colOff>
      <xdr:row>0</xdr:row>
      <xdr:rowOff>182880</xdr:rowOff>
    </xdr:from>
    <xdr:to>
      <xdr:col>18</xdr:col>
      <xdr:colOff>310320</xdr:colOff>
      <xdr:row>14</xdr:row>
      <xdr:rowOff>12600</xdr:rowOff>
    </xdr:to>
    <xdr:graphicFrame>
      <xdr:nvGraphicFramePr>
        <xdr:cNvPr id="3" name="Grafik 1"/>
        <xdr:cNvGraphicFramePr/>
      </xdr:nvGraphicFramePr>
      <xdr:xfrm>
        <a:off x="10203120" y="182880"/>
        <a:ext cx="4516560" cy="26118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11</xdr:col>
      <xdr:colOff>7560</xdr:colOff>
      <xdr:row>0</xdr:row>
      <xdr:rowOff>182880</xdr:rowOff>
    </xdr:from>
    <xdr:to>
      <xdr:col>18</xdr:col>
      <xdr:colOff>310320</xdr:colOff>
      <xdr:row>14</xdr:row>
      <xdr:rowOff>12600</xdr:rowOff>
    </xdr:to>
    <xdr:graphicFrame>
      <xdr:nvGraphicFramePr>
        <xdr:cNvPr id="4" name="Grafik 1"/>
        <xdr:cNvGraphicFramePr/>
      </xdr:nvGraphicFramePr>
      <xdr:xfrm>
        <a:off x="10163160" y="182880"/>
        <a:ext cx="4516560" cy="26118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9</xdr:col>
      <xdr:colOff>206280</xdr:colOff>
      <xdr:row>6</xdr:row>
      <xdr:rowOff>120600</xdr:rowOff>
    </xdr:from>
    <xdr:to>
      <xdr:col>15</xdr:col>
      <xdr:colOff>170280</xdr:colOff>
      <xdr:row>20</xdr:row>
      <xdr:rowOff>65160</xdr:rowOff>
    </xdr:to>
    <xdr:graphicFrame>
      <xdr:nvGraphicFramePr>
        <xdr:cNvPr id="5" name="Grafik 1"/>
        <xdr:cNvGraphicFramePr/>
      </xdr:nvGraphicFramePr>
      <xdr:xfrm>
        <a:off x="8469360" y="1378440"/>
        <a:ext cx="4560840" cy="26118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11</xdr:col>
      <xdr:colOff>7560</xdr:colOff>
      <xdr:row>0</xdr:row>
      <xdr:rowOff>182880</xdr:rowOff>
    </xdr:from>
    <xdr:to>
      <xdr:col>18</xdr:col>
      <xdr:colOff>310320</xdr:colOff>
      <xdr:row>14</xdr:row>
      <xdr:rowOff>12600</xdr:rowOff>
    </xdr:to>
    <xdr:graphicFrame>
      <xdr:nvGraphicFramePr>
        <xdr:cNvPr id="6" name="Grafik 1"/>
        <xdr:cNvGraphicFramePr/>
      </xdr:nvGraphicFramePr>
      <xdr:xfrm>
        <a:off x="10179720" y="182880"/>
        <a:ext cx="4538880" cy="26118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10</xdr:col>
      <xdr:colOff>975240</xdr:colOff>
      <xdr:row>0</xdr:row>
      <xdr:rowOff>182880</xdr:rowOff>
    </xdr:from>
    <xdr:to>
      <xdr:col>18</xdr:col>
      <xdr:colOff>286920</xdr:colOff>
      <xdr:row>14</xdr:row>
      <xdr:rowOff>12600</xdr:rowOff>
    </xdr:to>
    <xdr:graphicFrame>
      <xdr:nvGraphicFramePr>
        <xdr:cNvPr id="7" name="Grafik 1"/>
        <xdr:cNvGraphicFramePr/>
      </xdr:nvGraphicFramePr>
      <xdr:xfrm>
        <a:off x="10413720" y="182880"/>
        <a:ext cx="4542480" cy="26118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11</xdr:col>
      <xdr:colOff>7560</xdr:colOff>
      <xdr:row>1</xdr:row>
      <xdr:rowOff>360</xdr:rowOff>
    </xdr:from>
    <xdr:to>
      <xdr:col>18</xdr:col>
      <xdr:colOff>310320</xdr:colOff>
      <xdr:row>14</xdr:row>
      <xdr:rowOff>12600</xdr:rowOff>
    </xdr:to>
    <xdr:graphicFrame>
      <xdr:nvGraphicFramePr>
        <xdr:cNvPr id="8" name="Grafik 1"/>
        <xdr:cNvGraphicFramePr/>
      </xdr:nvGraphicFramePr>
      <xdr:xfrm>
        <a:off x="10226520" y="190800"/>
        <a:ext cx="4516560" cy="26038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10</xdr:col>
      <xdr:colOff>952560</xdr:colOff>
      <xdr:row>0</xdr:row>
      <xdr:rowOff>175320</xdr:rowOff>
    </xdr:from>
    <xdr:to>
      <xdr:col>18</xdr:col>
      <xdr:colOff>264600</xdr:colOff>
      <xdr:row>14</xdr:row>
      <xdr:rowOff>5040</xdr:rowOff>
    </xdr:to>
    <xdr:graphicFrame>
      <xdr:nvGraphicFramePr>
        <xdr:cNvPr id="9" name="Grafik 1"/>
        <xdr:cNvGraphicFramePr/>
      </xdr:nvGraphicFramePr>
      <xdr:xfrm>
        <a:off x="10410840" y="175320"/>
        <a:ext cx="4542480" cy="26118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10</xdr:col>
      <xdr:colOff>967680</xdr:colOff>
      <xdr:row>0</xdr:row>
      <xdr:rowOff>183240</xdr:rowOff>
    </xdr:from>
    <xdr:to>
      <xdr:col>18</xdr:col>
      <xdr:colOff>279720</xdr:colOff>
      <xdr:row>14</xdr:row>
      <xdr:rowOff>20520</xdr:rowOff>
    </xdr:to>
    <xdr:graphicFrame>
      <xdr:nvGraphicFramePr>
        <xdr:cNvPr id="10" name="Grafik 1"/>
        <xdr:cNvGraphicFramePr/>
      </xdr:nvGraphicFramePr>
      <xdr:xfrm>
        <a:off x="10109160" y="183240"/>
        <a:ext cx="4564800" cy="261936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10</xdr:col>
      <xdr:colOff>983160</xdr:colOff>
      <xdr:row>0</xdr:row>
      <xdr:rowOff>183240</xdr:rowOff>
    </xdr:from>
    <xdr:to>
      <xdr:col>18</xdr:col>
      <xdr:colOff>294840</xdr:colOff>
      <xdr:row>14</xdr:row>
      <xdr:rowOff>20520</xdr:rowOff>
    </xdr:to>
    <xdr:graphicFrame>
      <xdr:nvGraphicFramePr>
        <xdr:cNvPr id="11" name="Grafik 1"/>
        <xdr:cNvGraphicFramePr/>
      </xdr:nvGraphicFramePr>
      <xdr:xfrm>
        <a:off x="10192680" y="183240"/>
        <a:ext cx="4542120" cy="261936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11</xdr:col>
      <xdr:colOff>7560</xdr:colOff>
      <xdr:row>0</xdr:row>
      <xdr:rowOff>182880</xdr:rowOff>
    </xdr:from>
    <xdr:to>
      <xdr:col>18</xdr:col>
      <xdr:colOff>310320</xdr:colOff>
      <xdr:row>14</xdr:row>
      <xdr:rowOff>12600</xdr:rowOff>
    </xdr:to>
    <xdr:graphicFrame>
      <xdr:nvGraphicFramePr>
        <xdr:cNvPr id="12" name="Grafik 1"/>
        <xdr:cNvGraphicFramePr/>
      </xdr:nvGraphicFramePr>
      <xdr:xfrm>
        <a:off x="10378440" y="182880"/>
        <a:ext cx="4516560" cy="26118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eması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4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5.x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drawing" Target="../drawings/drawing6.xml"/>
</Relationships>
</file>

<file path=xl/worksheets/_rels/sheet7.xml.rels><?xml version="1.0" encoding="UTF-8"?>
<Relationships xmlns="http://schemas.openxmlformats.org/package/2006/relationships"><Relationship Id="rId1" Type="http://schemas.openxmlformats.org/officeDocument/2006/relationships/drawing" Target="../drawings/drawing7.xml"/>
</Relationships>
</file>

<file path=xl/worksheets/_rels/sheet8.xml.rels><?xml version="1.0" encoding="UTF-8"?>
<Relationships xmlns="http://schemas.openxmlformats.org/package/2006/relationships"><Relationship Id="rId1" Type="http://schemas.openxmlformats.org/officeDocument/2006/relationships/drawing" Target="../drawings/drawing8.xml"/>
</Relationships>
</file>

<file path=xl/worksheets/_rels/sheet9.xml.rels><?xml version="1.0" encoding="UTF-8"?>
<Relationships xmlns="http://schemas.openxmlformats.org/package/2006/relationships"><Relationship Id="rId1" Type="http://schemas.openxmlformats.org/officeDocument/2006/relationships/drawing" Target="../drawings/drawing9.xml"/>
</Relationships>
</file>

<file path=xl/worksheets/_rels/sheet10.xml.rels><?xml version="1.0" encoding="UTF-8"?>
<Relationships xmlns="http://schemas.openxmlformats.org/package/2006/relationships"><Relationship Id="rId1" Type="http://schemas.openxmlformats.org/officeDocument/2006/relationships/drawing" Target="../drawings/drawing10.xml"/>
</Relationships>
</file>

<file path=xl/worksheets/_rels/sheet11.xml.rels><?xml version="1.0" encoding="UTF-8"?>
<Relationships xmlns="http://schemas.openxmlformats.org/package/2006/relationships"><Relationship Id="rId1" Type="http://schemas.openxmlformats.org/officeDocument/2006/relationships/drawing" Target="../drawings/drawing11.xml"/>
</Relationships>
</file>

<file path=xl/worksheets/_rels/sheet12.xml.rels><?xml version="1.0" encoding="UTF-8"?>
<Relationships xmlns="http://schemas.openxmlformats.org/package/2006/relationships"><Relationship Id="rId1" Type="http://schemas.openxmlformats.org/officeDocument/2006/relationships/drawing" Target="../drawings/drawing1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3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C1" activeCellId="0" sqref="C1"/>
    </sheetView>
  </sheetViews>
  <sheetFormatPr defaultColWidth="8.54296875" defaultRowHeight="15" customHeight="false" zeroHeight="false" outlineLevelRow="0" outlineLevelCol="0"/>
  <cols>
    <col collapsed="false" customWidth="true" hidden="false" outlineLevel="0" max="1" min="1" style="1" width="5.57"/>
    <col collapsed="false" customWidth="true" hidden="false" outlineLevel="0" max="2" min="2" style="1" width="15.45"/>
    <col collapsed="false" customWidth="true" hidden="false" outlineLevel="0" max="3" min="3" style="1" width="10.71"/>
    <col collapsed="false" customWidth="true" hidden="false" outlineLevel="0" max="4" min="4" style="1" width="15.51"/>
    <col collapsed="false" customWidth="true" hidden="false" outlineLevel="0" max="5" min="5" style="1" width="12.42"/>
    <col collapsed="false" customWidth="true" hidden="false" outlineLevel="0" max="6" min="6" style="1" width="11.71"/>
    <col collapsed="false" customWidth="true" hidden="false" outlineLevel="0" max="7" min="7" style="2" width="15"/>
    <col collapsed="false" customWidth="true" hidden="false" outlineLevel="0" max="8" min="8" style="2" width="11.71"/>
    <col collapsed="false" customWidth="true" hidden="false" outlineLevel="0" max="9" min="9" style="2" width="17.67"/>
    <col collapsed="false" customWidth="true" hidden="false" outlineLevel="0" max="10" min="10" style="2" width="16"/>
    <col collapsed="false" customWidth="true" hidden="false" outlineLevel="0" max="11" min="11" style="2" width="14.42"/>
  </cols>
  <sheetData>
    <row r="1" customFormat="false" ht="15" hidden="false" customHeight="false" outlineLevel="0" collapsed="false">
      <c r="D1" s="3"/>
    </row>
    <row r="2" customFormat="false" ht="24.05" hidden="false" customHeight="false" outlineLevel="0" collapsed="false">
      <c r="A2" s="4" t="s">
        <v>0</v>
      </c>
      <c r="B2" s="4" t="s">
        <v>1</v>
      </c>
      <c r="C2" s="5" t="s">
        <v>2</v>
      </c>
      <c r="D2" s="6" t="s">
        <v>3</v>
      </c>
      <c r="E2" s="6" t="s">
        <v>4</v>
      </c>
      <c r="F2" s="4" t="s">
        <v>5</v>
      </c>
      <c r="G2" s="7" t="s">
        <v>6</v>
      </c>
      <c r="H2" s="6" t="s">
        <v>7</v>
      </c>
      <c r="I2" s="8" t="s">
        <v>8</v>
      </c>
      <c r="J2" s="1"/>
      <c r="K2" s="4"/>
      <c r="L2" s="2"/>
      <c r="M2" s="2"/>
      <c r="N2" s="2"/>
      <c r="O2" s="2"/>
      <c r="P2" s="2"/>
      <c r="Q2" s="2"/>
    </row>
    <row r="3" customFormat="false" ht="15" hidden="false" customHeight="false" outlineLevel="0" collapsed="false">
      <c r="A3" s="9" t="n">
        <v>0</v>
      </c>
      <c r="B3" s="10" t="n">
        <v>5.2</v>
      </c>
      <c r="C3" s="2" t="n">
        <v>2</v>
      </c>
      <c r="D3" s="2" t="n">
        <v>1.225</v>
      </c>
      <c r="E3" s="2" t="n">
        <v>100</v>
      </c>
      <c r="F3" s="2" t="n">
        <v>5</v>
      </c>
      <c r="G3" s="2" t="n">
        <v>0.4</v>
      </c>
      <c r="H3" s="2" t="n">
        <v>0.9</v>
      </c>
      <c r="I3" s="2" t="n">
        <f aca="false">0.5*D3*E3*(B3^3)*G3*H3*F3/1000</f>
        <v>15.502032</v>
      </c>
      <c r="J3" s="1"/>
      <c r="L3" s="2"/>
      <c r="M3" s="2"/>
      <c r="N3" s="2"/>
      <c r="O3" s="2"/>
      <c r="P3" s="2"/>
      <c r="Q3" s="2"/>
    </row>
    <row r="4" customFormat="false" ht="15" hidden="false" customHeight="false" outlineLevel="0" collapsed="false">
      <c r="A4" s="9" t="n">
        <v>0.0416666666666667</v>
      </c>
      <c r="B4" s="10" t="n">
        <v>5.5</v>
      </c>
      <c r="C4" s="2" t="n">
        <v>5</v>
      </c>
      <c r="D4" s="2" t="n">
        <v>1.225</v>
      </c>
      <c r="E4" s="2" t="n">
        <v>100</v>
      </c>
      <c r="F4" s="2" t="n">
        <v>5</v>
      </c>
      <c r="G4" s="2" t="n">
        <v>0.4</v>
      </c>
      <c r="H4" s="2" t="n">
        <v>0.9</v>
      </c>
      <c r="I4" s="2" t="n">
        <f aca="false">0.5*D4*E4*(B4^3)*G4*H4*F4/1000</f>
        <v>18.34284375</v>
      </c>
      <c r="J4" s="1"/>
      <c r="L4" s="2"/>
      <c r="M4" s="2"/>
      <c r="N4" s="2"/>
      <c r="O4" s="2"/>
      <c r="P4" s="2"/>
      <c r="Q4" s="2"/>
    </row>
    <row r="5" customFormat="false" ht="15" hidden="false" customHeight="false" outlineLevel="0" collapsed="false">
      <c r="A5" s="9" t="n">
        <v>0.0833333333333333</v>
      </c>
      <c r="B5" s="10" t="n">
        <v>5.8</v>
      </c>
      <c r="C5" s="2" t="n">
        <v>8</v>
      </c>
      <c r="D5" s="2" t="n">
        <v>1.225</v>
      </c>
      <c r="E5" s="2" t="n">
        <v>100</v>
      </c>
      <c r="F5" s="2" t="n">
        <v>5</v>
      </c>
      <c r="G5" s="2" t="n">
        <v>0.4</v>
      </c>
      <c r="H5" s="2" t="n">
        <v>0.9</v>
      </c>
      <c r="I5" s="2" t="n">
        <f aca="false">0.5*D5*E5*(B5^3)*G5*H5*F5/1000</f>
        <v>21.511098</v>
      </c>
      <c r="J5" s="1"/>
      <c r="L5" s="2"/>
      <c r="M5" s="2"/>
      <c r="N5" s="2"/>
    </row>
    <row r="6" customFormat="false" ht="15" hidden="false" customHeight="false" outlineLevel="0" collapsed="false">
      <c r="A6" s="9" t="n">
        <v>0.125</v>
      </c>
      <c r="B6" s="10" t="n">
        <v>6.1</v>
      </c>
      <c r="C6" s="2" t="n">
        <v>1</v>
      </c>
      <c r="D6" s="2" t="n">
        <v>1.225</v>
      </c>
      <c r="E6" s="2" t="n">
        <v>100</v>
      </c>
      <c r="F6" s="2" t="n">
        <v>5</v>
      </c>
      <c r="G6" s="2" t="n">
        <v>0.4</v>
      </c>
      <c r="H6" s="2" t="n">
        <v>0.9</v>
      </c>
      <c r="I6" s="2" t="n">
        <f aca="false">0.5*D6*E6*(B6^3)*G6*H6*F6/1000</f>
        <v>25.02465525</v>
      </c>
      <c r="J6" s="1"/>
      <c r="L6" s="2"/>
      <c r="M6" s="2"/>
      <c r="N6" s="2"/>
    </row>
    <row r="7" customFormat="false" ht="15" hidden="false" customHeight="false" outlineLevel="0" collapsed="false">
      <c r="A7" s="9" t="n">
        <v>0.166666666666667</v>
      </c>
      <c r="B7" s="10" t="n">
        <v>6.4</v>
      </c>
      <c r="C7" s="2" t="n">
        <v>4</v>
      </c>
      <c r="D7" s="2" t="n">
        <v>1.225</v>
      </c>
      <c r="E7" s="2" t="n">
        <v>100</v>
      </c>
      <c r="F7" s="2" t="n">
        <v>5</v>
      </c>
      <c r="G7" s="2" t="n">
        <v>0.4</v>
      </c>
      <c r="H7" s="2" t="n">
        <v>0.9</v>
      </c>
      <c r="I7" s="2" t="n">
        <f aca="false">0.5*D7*E7*(B7^3)*G7*H7*F7/1000</f>
        <v>28.901376</v>
      </c>
      <c r="J7" s="1"/>
      <c r="L7" s="2"/>
      <c r="M7" s="2"/>
      <c r="N7" s="2"/>
    </row>
    <row r="8" customFormat="false" ht="15" hidden="false" customHeight="false" outlineLevel="0" collapsed="false">
      <c r="A8" s="9" t="n">
        <v>0.208333333333333</v>
      </c>
      <c r="B8" s="10" t="n">
        <v>6.7</v>
      </c>
      <c r="C8" s="2" t="n">
        <v>7</v>
      </c>
      <c r="D8" s="2" t="n">
        <v>1.225</v>
      </c>
      <c r="E8" s="2" t="n">
        <v>100</v>
      </c>
      <c r="F8" s="2" t="n">
        <v>5</v>
      </c>
      <c r="G8" s="2" t="n">
        <v>0.4</v>
      </c>
      <c r="H8" s="2" t="n">
        <v>0.9</v>
      </c>
      <c r="I8" s="2" t="n">
        <f aca="false">0.5*D8*E8*(B8^3)*G8*H8*F8/1000</f>
        <v>33.15912075</v>
      </c>
      <c r="J8" s="1"/>
      <c r="L8" s="2"/>
      <c r="M8" s="2"/>
      <c r="N8" s="2"/>
    </row>
    <row r="9" customFormat="false" ht="15" hidden="false" customHeight="false" outlineLevel="0" collapsed="false">
      <c r="A9" s="9" t="n">
        <v>0.25</v>
      </c>
      <c r="B9" s="10" t="n">
        <v>7</v>
      </c>
      <c r="C9" s="2" t="n">
        <v>0</v>
      </c>
      <c r="D9" s="2" t="n">
        <v>1.225</v>
      </c>
      <c r="E9" s="2" t="n">
        <v>100</v>
      </c>
      <c r="F9" s="2" t="n">
        <v>5</v>
      </c>
      <c r="G9" s="2" t="n">
        <v>0.4</v>
      </c>
      <c r="H9" s="2" t="n">
        <v>0.9</v>
      </c>
      <c r="I9" s="2" t="n">
        <f aca="false">0.5*D9*E9*(B9^3)*G9*H9*F9/1000</f>
        <v>37.81575</v>
      </c>
      <c r="J9" s="1"/>
      <c r="L9" s="2"/>
      <c r="M9" s="2"/>
      <c r="N9" s="2"/>
    </row>
    <row r="10" customFormat="false" ht="15" hidden="false" customHeight="false" outlineLevel="0" collapsed="false">
      <c r="A10" s="9" t="n">
        <v>0.291666666666667</v>
      </c>
      <c r="B10" s="10" t="n">
        <v>7.3</v>
      </c>
      <c r="C10" s="2" t="n">
        <v>3</v>
      </c>
      <c r="D10" s="2" t="n">
        <v>1.225</v>
      </c>
      <c r="E10" s="2" t="n">
        <v>100</v>
      </c>
      <c r="F10" s="2" t="n">
        <v>5</v>
      </c>
      <c r="G10" s="2" t="n">
        <v>0.4</v>
      </c>
      <c r="H10" s="2" t="n">
        <v>0.9</v>
      </c>
      <c r="I10" s="2" t="n">
        <f aca="false">0.5*D10*E10*(B10^3)*G10*H10*F10/1000</f>
        <v>42.88912425</v>
      </c>
      <c r="J10" s="1"/>
      <c r="L10" s="2"/>
      <c r="M10" s="2"/>
      <c r="N10" s="2"/>
    </row>
    <row r="11" customFormat="false" ht="15" hidden="false" customHeight="false" outlineLevel="0" collapsed="false">
      <c r="A11" s="9" t="n">
        <v>0.333333333333333</v>
      </c>
      <c r="B11" s="10" t="n">
        <v>7.6</v>
      </c>
      <c r="C11" s="2" t="n">
        <v>6</v>
      </c>
      <c r="D11" s="2" t="n">
        <v>1.225</v>
      </c>
      <c r="E11" s="2" t="n">
        <v>100</v>
      </c>
      <c r="F11" s="2" t="n">
        <v>5</v>
      </c>
      <c r="G11" s="2" t="n">
        <v>0.4</v>
      </c>
      <c r="H11" s="2" t="n">
        <v>0.9</v>
      </c>
      <c r="I11" s="2" t="n">
        <f aca="false">0.5*D11*E11*(B11^3)*G11*H11*F11/1000</f>
        <v>48.397104</v>
      </c>
      <c r="J11" s="1"/>
      <c r="L11" s="2"/>
      <c r="M11" s="2"/>
      <c r="N11" s="2"/>
    </row>
    <row r="12" customFormat="false" ht="15" hidden="false" customHeight="false" outlineLevel="0" collapsed="false">
      <c r="A12" s="9" t="n">
        <v>0.375</v>
      </c>
      <c r="B12" s="10" t="n">
        <v>7.9</v>
      </c>
      <c r="C12" s="2" t="n">
        <v>9</v>
      </c>
      <c r="D12" s="2" t="n">
        <v>1.225</v>
      </c>
      <c r="E12" s="2" t="n">
        <v>100</v>
      </c>
      <c r="F12" s="2" t="n">
        <v>5</v>
      </c>
      <c r="G12" s="2" t="n">
        <v>0.4</v>
      </c>
      <c r="H12" s="2" t="n">
        <v>0.9</v>
      </c>
      <c r="I12" s="2" t="n">
        <f aca="false">0.5*D12*E12*(B12^3)*G12*H12*F12/1000</f>
        <v>54.35754975</v>
      </c>
      <c r="J12" s="1"/>
      <c r="L12" s="2"/>
      <c r="M12" s="2"/>
      <c r="N12" s="2"/>
    </row>
    <row r="13" customFormat="false" ht="15" hidden="false" customHeight="false" outlineLevel="0" collapsed="false">
      <c r="A13" s="9" t="n">
        <v>0.416666666666667</v>
      </c>
      <c r="B13" s="10" t="n">
        <v>8.1</v>
      </c>
      <c r="C13" s="2" t="n">
        <v>1</v>
      </c>
      <c r="D13" s="2" t="n">
        <v>1.225</v>
      </c>
      <c r="E13" s="2" t="n">
        <v>100</v>
      </c>
      <c r="F13" s="2" t="n">
        <v>5</v>
      </c>
      <c r="G13" s="2" t="n">
        <v>0.4</v>
      </c>
      <c r="H13" s="2" t="n">
        <v>0.9</v>
      </c>
      <c r="I13" s="2" t="n">
        <f aca="false">0.5*D13*E13*(B13^3)*G13*H13*F13/1000</f>
        <v>58.59137025</v>
      </c>
      <c r="J13" s="1"/>
      <c r="L13" s="2"/>
      <c r="M13" s="2"/>
      <c r="N13" s="2"/>
    </row>
    <row r="14" customFormat="false" ht="15" hidden="false" customHeight="false" outlineLevel="0" collapsed="false">
      <c r="A14" s="9" t="n">
        <v>0.458333333333333</v>
      </c>
      <c r="B14" s="10" t="n">
        <v>8.3</v>
      </c>
      <c r="C14" s="2" t="n">
        <v>3</v>
      </c>
      <c r="D14" s="2" t="n">
        <v>1.225</v>
      </c>
      <c r="E14" s="2" t="n">
        <v>100</v>
      </c>
      <c r="F14" s="2" t="n">
        <v>5</v>
      </c>
      <c r="G14" s="2" t="n">
        <v>0.4</v>
      </c>
      <c r="H14" s="2" t="n">
        <v>0.9</v>
      </c>
      <c r="I14" s="2" t="n">
        <f aca="false">0.5*D14*E14*(B14^3)*G14*H14*F14/1000</f>
        <v>63.03951675</v>
      </c>
      <c r="J14" s="1"/>
      <c r="L14" s="2"/>
      <c r="M14" s="2"/>
      <c r="N14" s="2"/>
    </row>
    <row r="15" customFormat="false" ht="15" hidden="false" customHeight="false" outlineLevel="0" collapsed="false">
      <c r="A15" s="9" t="n">
        <v>0.5</v>
      </c>
      <c r="B15" s="10" t="n">
        <v>8</v>
      </c>
      <c r="C15" s="2" t="n">
        <v>0</v>
      </c>
      <c r="D15" s="2" t="n">
        <v>1.225</v>
      </c>
      <c r="E15" s="2" t="n">
        <v>100</v>
      </c>
      <c r="F15" s="2" t="n">
        <v>5</v>
      </c>
      <c r="G15" s="2" t="n">
        <v>0.4</v>
      </c>
      <c r="H15" s="2" t="n">
        <v>0.9</v>
      </c>
      <c r="I15" s="2" t="n">
        <f aca="false">0.5*D15*E15*(B15^3)*G15*H15*F15/1000</f>
        <v>56.448</v>
      </c>
      <c r="J15" s="1"/>
      <c r="L15" s="2"/>
      <c r="M15" s="2"/>
      <c r="N15" s="2"/>
    </row>
    <row r="16" customFormat="false" ht="15" hidden="false" customHeight="false" outlineLevel="0" collapsed="false">
      <c r="A16" s="9" t="n">
        <v>0.541666666666667</v>
      </c>
      <c r="B16" s="10" t="n">
        <v>7.7</v>
      </c>
      <c r="C16" s="2" t="n">
        <v>7</v>
      </c>
      <c r="D16" s="2" t="n">
        <v>1.225</v>
      </c>
      <c r="E16" s="2" t="n">
        <v>100</v>
      </c>
      <c r="F16" s="2" t="n">
        <v>5</v>
      </c>
      <c r="G16" s="2" t="n">
        <v>0.4</v>
      </c>
      <c r="H16" s="2" t="n">
        <v>0.9</v>
      </c>
      <c r="I16" s="2" t="n">
        <f aca="false">0.5*D16*E16*(B16^3)*G16*H16*F16/1000</f>
        <v>50.33276325</v>
      </c>
      <c r="J16" s="1"/>
      <c r="L16" s="2"/>
      <c r="M16" s="2"/>
      <c r="N16" s="2"/>
    </row>
    <row r="17" customFormat="false" ht="15" hidden="false" customHeight="false" outlineLevel="0" collapsed="false">
      <c r="A17" s="9" t="n">
        <v>0.583333333333333</v>
      </c>
      <c r="B17" s="10" t="n">
        <v>7.4</v>
      </c>
      <c r="C17" s="2" t="n">
        <v>4</v>
      </c>
      <c r="D17" s="2" t="n">
        <v>1.225</v>
      </c>
      <c r="E17" s="2" t="n">
        <v>100</v>
      </c>
      <c r="F17" s="2" t="n">
        <v>5</v>
      </c>
      <c r="G17" s="2" t="n">
        <v>0.4</v>
      </c>
      <c r="H17" s="2" t="n">
        <v>0.9</v>
      </c>
      <c r="I17" s="2" t="n">
        <f aca="false">0.5*D17*E17*(B17^3)*G17*H17*F17/1000</f>
        <v>44.675946</v>
      </c>
      <c r="J17" s="1"/>
      <c r="L17" s="2"/>
      <c r="M17" s="2"/>
      <c r="N17" s="2"/>
    </row>
    <row r="18" customFormat="false" ht="15" hidden="false" customHeight="false" outlineLevel="0" collapsed="false">
      <c r="A18" s="9" t="n">
        <v>0.625</v>
      </c>
      <c r="B18" s="10" t="n">
        <v>7.1</v>
      </c>
      <c r="C18" s="2" t="n">
        <v>1</v>
      </c>
      <c r="D18" s="2" t="n">
        <v>1.225</v>
      </c>
      <c r="E18" s="2" t="n">
        <v>100</v>
      </c>
      <c r="F18" s="2" t="n">
        <v>5</v>
      </c>
      <c r="G18" s="2" t="n">
        <v>0.4</v>
      </c>
      <c r="H18" s="2" t="n">
        <v>0.9</v>
      </c>
      <c r="I18" s="2" t="n">
        <f aca="false">0.5*D18*E18*(B18^3)*G18*H18*F18/1000</f>
        <v>39.45968775</v>
      </c>
      <c r="J18" s="1"/>
      <c r="L18" s="2"/>
      <c r="M18" s="2"/>
      <c r="N18" s="2"/>
    </row>
    <row r="19" customFormat="false" ht="15" hidden="false" customHeight="false" outlineLevel="0" collapsed="false">
      <c r="A19" s="9" t="n">
        <v>0.666666666666667</v>
      </c>
      <c r="B19" s="10" t="n">
        <v>6.8</v>
      </c>
      <c r="C19" s="2" t="n">
        <v>8</v>
      </c>
      <c r="D19" s="2" t="n">
        <v>1.225</v>
      </c>
      <c r="E19" s="2" t="n">
        <v>100</v>
      </c>
      <c r="F19" s="2" t="n">
        <v>5</v>
      </c>
      <c r="G19" s="2" t="n">
        <v>0.4</v>
      </c>
      <c r="H19" s="2" t="n">
        <v>0.9</v>
      </c>
      <c r="I19" s="2" t="n">
        <f aca="false">0.5*D19*E19*(B19^3)*G19*H19*F19/1000</f>
        <v>34.666128</v>
      </c>
      <c r="J19" s="1"/>
      <c r="L19" s="2"/>
      <c r="M19" s="2"/>
      <c r="N19" s="2"/>
    </row>
    <row r="20" customFormat="false" ht="15" hidden="false" customHeight="false" outlineLevel="0" collapsed="false">
      <c r="A20" s="9" t="n">
        <v>0.708333333333333</v>
      </c>
      <c r="B20" s="10" t="n">
        <v>6.5</v>
      </c>
      <c r="C20" s="2" t="n">
        <v>5</v>
      </c>
      <c r="D20" s="2" t="n">
        <v>1.225</v>
      </c>
      <c r="E20" s="2" t="n">
        <v>100</v>
      </c>
      <c r="F20" s="2" t="n">
        <v>5</v>
      </c>
      <c r="G20" s="2" t="n">
        <v>0.4</v>
      </c>
      <c r="H20" s="2" t="n">
        <v>0.9</v>
      </c>
      <c r="I20" s="2" t="n">
        <f aca="false">0.5*D20*E20*(B20^3)*G20*H20*F20/1000</f>
        <v>30.27740625</v>
      </c>
      <c r="J20" s="1"/>
      <c r="L20" s="2"/>
      <c r="M20" s="2"/>
      <c r="N20" s="2"/>
    </row>
    <row r="21" customFormat="false" ht="15" hidden="false" customHeight="false" outlineLevel="0" collapsed="false">
      <c r="A21" s="9" t="n">
        <v>0.75</v>
      </c>
      <c r="B21" s="10" t="n">
        <v>6.2</v>
      </c>
      <c r="C21" s="2" t="n">
        <v>2</v>
      </c>
      <c r="D21" s="2" t="n">
        <v>1.225</v>
      </c>
      <c r="E21" s="2" t="n">
        <v>100</v>
      </c>
      <c r="F21" s="2" t="n">
        <v>5</v>
      </c>
      <c r="G21" s="2" t="n">
        <v>0.4</v>
      </c>
      <c r="H21" s="2" t="n">
        <v>0.9</v>
      </c>
      <c r="I21" s="2" t="n">
        <f aca="false">0.5*D21*E21*(B21^3)*G21*H21*F21/1000</f>
        <v>26.275662</v>
      </c>
      <c r="J21" s="1"/>
      <c r="L21" s="2"/>
      <c r="M21" s="2"/>
      <c r="N21" s="2"/>
    </row>
    <row r="22" customFormat="false" ht="15" hidden="false" customHeight="false" outlineLevel="0" collapsed="false">
      <c r="A22" s="9" t="n">
        <v>0.791666666666667</v>
      </c>
      <c r="B22" s="10" t="n">
        <v>5.9</v>
      </c>
      <c r="C22" s="2" t="n">
        <v>9</v>
      </c>
      <c r="D22" s="2" t="n">
        <v>1.225</v>
      </c>
      <c r="E22" s="2" t="n">
        <v>100</v>
      </c>
      <c r="F22" s="2" t="n">
        <v>5</v>
      </c>
      <c r="G22" s="2" t="n">
        <v>0.4</v>
      </c>
      <c r="H22" s="2" t="n">
        <v>0.9</v>
      </c>
      <c r="I22" s="2" t="n">
        <f aca="false">0.5*D22*E22*(B22^3)*G22*H22*F22/1000</f>
        <v>22.64303475</v>
      </c>
      <c r="J22" s="1"/>
      <c r="L22" s="2"/>
      <c r="M22" s="2"/>
      <c r="N22" s="2"/>
    </row>
    <row r="23" customFormat="false" ht="15" hidden="false" customHeight="false" outlineLevel="0" collapsed="false">
      <c r="A23" s="9" t="n">
        <v>0.833333333333333</v>
      </c>
      <c r="B23" s="10" t="n">
        <v>5.6</v>
      </c>
      <c r="C23" s="2" t="n">
        <v>6</v>
      </c>
      <c r="D23" s="2" t="n">
        <v>1.225</v>
      </c>
      <c r="E23" s="2" t="n">
        <v>100</v>
      </c>
      <c r="F23" s="2" t="n">
        <v>5</v>
      </c>
      <c r="G23" s="2" t="n">
        <v>0.4</v>
      </c>
      <c r="H23" s="2" t="n">
        <v>0.9</v>
      </c>
      <c r="I23" s="2" t="n">
        <f aca="false">0.5*D23*E23*(B23^3)*G23*H23*F23/1000</f>
        <v>19.361664</v>
      </c>
      <c r="J23" s="1"/>
      <c r="L23" s="2"/>
      <c r="M23" s="2"/>
      <c r="N23" s="2"/>
    </row>
    <row r="24" customFormat="false" ht="15" hidden="false" customHeight="false" outlineLevel="0" collapsed="false">
      <c r="A24" s="9" t="n">
        <v>0.875</v>
      </c>
      <c r="B24" s="10" t="n">
        <v>5.4</v>
      </c>
      <c r="C24" s="2" t="n">
        <v>4</v>
      </c>
      <c r="D24" s="2" t="n">
        <v>1.225</v>
      </c>
      <c r="E24" s="2" t="n">
        <v>100</v>
      </c>
      <c r="F24" s="2" t="n">
        <v>5</v>
      </c>
      <c r="G24" s="2" t="n">
        <v>0.4</v>
      </c>
      <c r="H24" s="2" t="n">
        <v>0.9</v>
      </c>
      <c r="I24" s="2" t="n">
        <f aca="false">0.5*D24*E24*(B24^3)*G24*H24*F24/1000</f>
        <v>17.360406</v>
      </c>
      <c r="J24" s="1"/>
      <c r="L24" s="2"/>
      <c r="M24" s="2"/>
      <c r="N24" s="2"/>
    </row>
    <row r="25" customFormat="false" ht="15" hidden="false" customHeight="false" outlineLevel="0" collapsed="false">
      <c r="A25" s="9" t="n">
        <v>0.916666666666667</v>
      </c>
      <c r="B25" s="10" t="n">
        <v>5.3</v>
      </c>
      <c r="C25" s="2" t="n">
        <v>3</v>
      </c>
      <c r="D25" s="2" t="n">
        <v>1.225</v>
      </c>
      <c r="E25" s="2" t="n">
        <v>100</v>
      </c>
      <c r="F25" s="2" t="n">
        <v>5</v>
      </c>
      <c r="G25" s="2" t="n">
        <v>0.4</v>
      </c>
      <c r="H25" s="2" t="n">
        <v>0.9</v>
      </c>
      <c r="I25" s="2" t="n">
        <f aca="false">0.5*D25*E25*(B25^3)*G25*H25*F25/1000</f>
        <v>16.41368925</v>
      </c>
      <c r="J25" s="1"/>
      <c r="L25" s="2"/>
      <c r="M25" s="2"/>
      <c r="N25" s="2"/>
    </row>
    <row r="26" customFormat="false" ht="15" hidden="false" customHeight="false" outlineLevel="0" collapsed="false">
      <c r="A26" s="9" t="n">
        <v>0.958333333333333</v>
      </c>
      <c r="B26" s="10" t="n">
        <v>5.1</v>
      </c>
      <c r="C26" s="2" t="n">
        <v>1</v>
      </c>
      <c r="D26" s="2" t="n">
        <v>1.225</v>
      </c>
      <c r="E26" s="2" t="n">
        <v>100</v>
      </c>
      <c r="F26" s="2" t="n">
        <v>5</v>
      </c>
      <c r="G26" s="2" t="n">
        <v>0.4</v>
      </c>
      <c r="H26" s="2" t="n">
        <v>0.9</v>
      </c>
      <c r="I26" s="2" t="n">
        <f aca="false">0.5*D26*E26*(B26^3)*G26*H26*F26/1000</f>
        <v>14.62477275</v>
      </c>
      <c r="J26" s="1"/>
      <c r="L26" s="2"/>
      <c r="M26" s="2"/>
      <c r="N26" s="2"/>
      <c r="O26" s="2"/>
      <c r="P26" s="2"/>
      <c r="Q26" s="2"/>
    </row>
    <row r="27" customFormat="false" ht="15" hidden="false" customHeight="false" outlineLevel="0" collapsed="false">
      <c r="D27" s="2"/>
      <c r="F27" s="2"/>
      <c r="I27" s="11" t="n">
        <f aca="false">SUM(I3:I26)</f>
        <v>820.07070075</v>
      </c>
      <c r="J27" s="1"/>
    </row>
    <row r="28" customFormat="false" ht="15" hidden="false" customHeight="false" outlineLevel="0" collapsed="false">
      <c r="D28" s="2"/>
      <c r="F28" s="2"/>
    </row>
    <row r="29" customFormat="false" ht="15" hidden="false" customHeight="false" outlineLevel="0" collapsed="false">
      <c r="B29" s="11" t="n">
        <f aca="false">SUM(B3:B26)*31/1000</f>
        <v>4.9259</v>
      </c>
      <c r="D29" s="2"/>
      <c r="F29" s="2"/>
      <c r="I29" s="4" t="s">
        <v>9</v>
      </c>
      <c r="J29" s="11" t="n">
        <f aca="false">I27*31*0.9</f>
        <v>22879.972550925</v>
      </c>
    </row>
    <row r="30" customFormat="false" ht="15" hidden="false" customHeight="false" outlineLevel="0" collapsed="false">
      <c r="B30" s="12" t="n">
        <f aca="false">B29*31</f>
        <v>152.7029</v>
      </c>
      <c r="D30" s="2"/>
      <c r="F30" s="2"/>
    </row>
    <row r="31" customFormat="false" ht="15" hidden="false" customHeight="false" outlineLevel="0" collapsed="false">
      <c r="B31" s="13" t="n">
        <v>1844</v>
      </c>
      <c r="C31" s="1" t="s">
        <v>10</v>
      </c>
      <c r="D31" s="2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2:K3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F3" activeCellId="0" sqref="F3"/>
    </sheetView>
  </sheetViews>
  <sheetFormatPr defaultColWidth="8.54296875" defaultRowHeight="15" customHeight="false" zeroHeight="false" outlineLevelRow="0" outlineLevelCol="0"/>
  <cols>
    <col collapsed="false" customWidth="true" hidden="false" outlineLevel="0" max="1" min="1" style="1" width="5.57"/>
    <col collapsed="false" customWidth="true" hidden="false" outlineLevel="0" max="2" min="2" style="1" width="15.39"/>
    <col collapsed="false" customWidth="true" hidden="false" outlineLevel="0" max="3" min="3" style="1" width="10.71"/>
    <col collapsed="false" customWidth="true" hidden="false" outlineLevel="0" max="4" min="4" style="1" width="15.42"/>
    <col collapsed="false" customWidth="true" hidden="false" outlineLevel="0" max="5" min="5" style="1" width="12.42"/>
    <col collapsed="false" customWidth="true" hidden="false" outlineLevel="0" max="6" min="6" style="1" width="11.71"/>
    <col collapsed="false" customWidth="true" hidden="false" outlineLevel="0" max="7" min="7" style="1" width="15"/>
    <col collapsed="false" customWidth="true" hidden="false" outlineLevel="0" max="8" min="8" style="2" width="11.71"/>
    <col collapsed="false" customWidth="true" hidden="false" outlineLevel="0" max="9" min="9" style="2" width="15.07"/>
    <col collapsed="false" customWidth="true" hidden="false" outlineLevel="0" max="10" min="10" style="2" width="16"/>
    <col collapsed="false" customWidth="true" hidden="false" outlineLevel="0" max="11" min="11" style="2" width="14.42"/>
  </cols>
  <sheetData>
    <row r="2" customFormat="false" ht="24.05" hidden="false" customHeight="false" outlineLevel="0" collapsed="false">
      <c r="A2" s="4" t="s">
        <v>0</v>
      </c>
      <c r="B2" s="4" t="s">
        <v>1</v>
      </c>
      <c r="C2" s="5" t="s">
        <v>2</v>
      </c>
      <c r="D2" s="6" t="s">
        <v>3</v>
      </c>
      <c r="E2" s="6" t="s">
        <v>4</v>
      </c>
      <c r="F2" s="4" t="s">
        <v>5</v>
      </c>
      <c r="G2" s="7" t="s">
        <v>6</v>
      </c>
      <c r="H2" s="6" t="s">
        <v>7</v>
      </c>
      <c r="I2" s="8" t="s">
        <v>8</v>
      </c>
      <c r="J2" s="4"/>
      <c r="K2" s="4"/>
    </row>
    <row r="3" customFormat="false" ht="15" hidden="false" customHeight="false" outlineLevel="0" collapsed="false">
      <c r="A3" s="9" t="n">
        <v>0</v>
      </c>
      <c r="B3" s="10" t="n">
        <v>5</v>
      </c>
      <c r="C3" s="2" t="n">
        <v>4</v>
      </c>
      <c r="D3" s="2" t="n">
        <v>1.225</v>
      </c>
      <c r="E3" s="2" t="n">
        <v>100</v>
      </c>
      <c r="F3" s="2" t="n">
        <v>5</v>
      </c>
      <c r="G3" s="2" t="n">
        <v>0.4</v>
      </c>
      <c r="H3" s="2" t="n">
        <v>0.9</v>
      </c>
      <c r="I3" s="2" t="n">
        <f aca="false">0.5*D3*E3*(B3^3)*G3*H3*F3/1000</f>
        <v>13.78125</v>
      </c>
      <c r="J3" s="14"/>
    </row>
    <row r="4" customFormat="false" ht="15" hidden="false" customHeight="false" outlineLevel="0" collapsed="false">
      <c r="A4" s="9" t="n">
        <v>0.0416666666666667</v>
      </c>
      <c r="B4" s="10" t="n">
        <v>5.3</v>
      </c>
      <c r="C4" s="2" t="n">
        <v>4</v>
      </c>
      <c r="D4" s="2" t="n">
        <v>1.225</v>
      </c>
      <c r="E4" s="2" t="n">
        <v>100</v>
      </c>
      <c r="F4" s="2" t="n">
        <v>5</v>
      </c>
      <c r="G4" s="2" t="n">
        <v>0.4</v>
      </c>
      <c r="H4" s="2" t="n">
        <v>0.9</v>
      </c>
      <c r="I4" s="2" t="n">
        <f aca="false">0.5*D4*E4*(B4^3)*G4*H4*F4/1000</f>
        <v>16.41368925</v>
      </c>
      <c r="J4" s="14"/>
    </row>
    <row r="5" customFormat="false" ht="15" hidden="false" customHeight="false" outlineLevel="0" collapsed="false">
      <c r="A5" s="9" t="n">
        <v>0.0833333333333333</v>
      </c>
      <c r="B5" s="10" t="n">
        <v>5.6</v>
      </c>
      <c r="C5" s="2" t="n">
        <v>3</v>
      </c>
      <c r="D5" s="2" t="n">
        <v>1.225</v>
      </c>
      <c r="E5" s="2" t="n">
        <v>100</v>
      </c>
      <c r="F5" s="2" t="n">
        <v>5</v>
      </c>
      <c r="G5" s="2" t="n">
        <v>0.4</v>
      </c>
      <c r="H5" s="2" t="n">
        <v>0.9</v>
      </c>
      <c r="I5" s="2" t="n">
        <f aca="false">0.5*D5*E5*(B5^3)*G5*H5*F5/1000</f>
        <v>19.361664</v>
      </c>
      <c r="J5" s="14"/>
    </row>
    <row r="6" customFormat="false" ht="15" hidden="false" customHeight="false" outlineLevel="0" collapsed="false">
      <c r="A6" s="9" t="n">
        <v>0.125</v>
      </c>
      <c r="B6" s="10" t="n">
        <v>5.9</v>
      </c>
      <c r="C6" s="2" t="n">
        <v>3</v>
      </c>
      <c r="D6" s="2" t="n">
        <v>1.225</v>
      </c>
      <c r="E6" s="2" t="n">
        <v>100</v>
      </c>
      <c r="F6" s="2" t="n">
        <v>5</v>
      </c>
      <c r="G6" s="2" t="n">
        <v>0.4</v>
      </c>
      <c r="H6" s="2" t="n">
        <v>0.9</v>
      </c>
      <c r="I6" s="2" t="n">
        <f aca="false">0.5*D6*E6*(B6^3)*G6*H6*F6/1000</f>
        <v>22.64303475</v>
      </c>
      <c r="J6" s="14"/>
    </row>
    <row r="7" customFormat="false" ht="15" hidden="false" customHeight="false" outlineLevel="0" collapsed="false">
      <c r="A7" s="9" t="n">
        <v>0.166666666666667</v>
      </c>
      <c r="B7" s="10" t="n">
        <v>6.2</v>
      </c>
      <c r="C7" s="2" t="n">
        <v>3</v>
      </c>
      <c r="D7" s="2" t="n">
        <v>1.225</v>
      </c>
      <c r="E7" s="2" t="n">
        <v>100</v>
      </c>
      <c r="F7" s="2" t="n">
        <v>5</v>
      </c>
      <c r="G7" s="2" t="n">
        <v>0.4</v>
      </c>
      <c r="H7" s="2" t="n">
        <v>0.9</v>
      </c>
      <c r="I7" s="2" t="n">
        <f aca="false">0.5*D7*E7*(B7^3)*G7*H7*F7/1000</f>
        <v>26.275662</v>
      </c>
      <c r="J7" s="14"/>
    </row>
    <row r="8" customFormat="false" ht="15" hidden="false" customHeight="false" outlineLevel="0" collapsed="false">
      <c r="A8" s="9" t="n">
        <v>0.208333333333333</v>
      </c>
      <c r="B8" s="10" t="n">
        <v>6.5</v>
      </c>
      <c r="C8" s="2" t="n">
        <v>4</v>
      </c>
      <c r="D8" s="2" t="n">
        <v>1.225</v>
      </c>
      <c r="E8" s="2" t="n">
        <v>100</v>
      </c>
      <c r="F8" s="2" t="n">
        <v>5</v>
      </c>
      <c r="G8" s="2" t="n">
        <v>0.4</v>
      </c>
      <c r="H8" s="2" t="n">
        <v>0.9</v>
      </c>
      <c r="I8" s="2" t="n">
        <f aca="false">0.5*D8*E8*(B8^3)*G8*H8*F8/1000</f>
        <v>30.27740625</v>
      </c>
      <c r="J8" s="14"/>
    </row>
    <row r="9" customFormat="false" ht="15" hidden="false" customHeight="false" outlineLevel="0" collapsed="false">
      <c r="A9" s="9" t="n">
        <v>0.25</v>
      </c>
      <c r="B9" s="10" t="n">
        <v>6.8</v>
      </c>
      <c r="C9" s="2" t="n">
        <v>4</v>
      </c>
      <c r="D9" s="2" t="n">
        <v>1.225</v>
      </c>
      <c r="E9" s="2" t="n">
        <v>100</v>
      </c>
      <c r="F9" s="2" t="n">
        <v>5</v>
      </c>
      <c r="G9" s="2" t="n">
        <v>0.4</v>
      </c>
      <c r="H9" s="2" t="n">
        <v>0.9</v>
      </c>
      <c r="I9" s="2" t="n">
        <f aca="false">0.5*D9*E9*(B9^3)*G9*H9*F9/1000</f>
        <v>34.666128</v>
      </c>
      <c r="J9" s="14"/>
    </row>
    <row r="10" customFormat="false" ht="15" hidden="false" customHeight="false" outlineLevel="0" collapsed="false">
      <c r="A10" s="9" t="n">
        <v>0.291666666666667</v>
      </c>
      <c r="B10" s="10" t="n">
        <v>7.1</v>
      </c>
      <c r="C10" s="2" t="n">
        <v>5</v>
      </c>
      <c r="D10" s="2" t="n">
        <v>1.225</v>
      </c>
      <c r="E10" s="2" t="n">
        <v>100</v>
      </c>
      <c r="F10" s="2" t="n">
        <v>5</v>
      </c>
      <c r="G10" s="2" t="n">
        <v>0.4</v>
      </c>
      <c r="H10" s="2" t="n">
        <v>0.9</v>
      </c>
      <c r="I10" s="2" t="n">
        <f aca="false">0.5*D10*E10*(B10^3)*G10*H10*F10/1000</f>
        <v>39.45968775</v>
      </c>
      <c r="J10" s="14"/>
    </row>
    <row r="11" customFormat="false" ht="15" hidden="false" customHeight="false" outlineLevel="0" collapsed="false">
      <c r="A11" s="9" t="n">
        <v>0.333333333333333</v>
      </c>
      <c r="B11" s="10" t="n">
        <v>7.4</v>
      </c>
      <c r="C11" s="2" t="n">
        <v>7</v>
      </c>
      <c r="D11" s="2" t="n">
        <v>1.225</v>
      </c>
      <c r="E11" s="2" t="n">
        <v>100</v>
      </c>
      <c r="F11" s="2" t="n">
        <v>5</v>
      </c>
      <c r="G11" s="2" t="n">
        <v>0.4</v>
      </c>
      <c r="H11" s="2" t="n">
        <v>0.9</v>
      </c>
      <c r="I11" s="2" t="n">
        <f aca="false">0.5*D11*E11*(B11^3)*G11*H11*F11/1000</f>
        <v>44.675946</v>
      </c>
      <c r="J11" s="14"/>
    </row>
    <row r="12" customFormat="false" ht="15" hidden="false" customHeight="false" outlineLevel="0" collapsed="false">
      <c r="A12" s="9" t="n">
        <v>0.375</v>
      </c>
      <c r="B12" s="10" t="n">
        <v>7.7</v>
      </c>
      <c r="C12" s="2" t="n">
        <v>10</v>
      </c>
      <c r="D12" s="2" t="n">
        <v>1.225</v>
      </c>
      <c r="E12" s="2" t="n">
        <v>100</v>
      </c>
      <c r="F12" s="2" t="n">
        <v>5</v>
      </c>
      <c r="G12" s="2" t="n">
        <v>0.4</v>
      </c>
      <c r="H12" s="2" t="n">
        <v>0.9</v>
      </c>
      <c r="I12" s="2" t="n">
        <f aca="false">0.5*D12*E12*(B12^3)*G12*H12*F12/1000</f>
        <v>50.33276325</v>
      </c>
      <c r="J12" s="14"/>
    </row>
    <row r="13" customFormat="false" ht="15" hidden="false" customHeight="false" outlineLevel="0" collapsed="false">
      <c r="A13" s="9" t="n">
        <v>0.416666666666667</v>
      </c>
      <c r="B13" s="10" t="n">
        <v>7.9</v>
      </c>
      <c r="C13" s="2" t="n">
        <v>15</v>
      </c>
      <c r="D13" s="2" t="n">
        <v>1.225</v>
      </c>
      <c r="E13" s="2" t="n">
        <v>100</v>
      </c>
      <c r="F13" s="2" t="n">
        <v>5</v>
      </c>
      <c r="G13" s="2" t="n">
        <v>0.4</v>
      </c>
      <c r="H13" s="2" t="n">
        <v>0.9</v>
      </c>
      <c r="I13" s="2" t="n">
        <f aca="false">0.5*D13*E13*(B13^3)*G13*H13*F13/1000</f>
        <v>54.35754975</v>
      </c>
      <c r="J13" s="14"/>
    </row>
    <row r="14" customFormat="false" ht="15" hidden="false" customHeight="false" outlineLevel="0" collapsed="false">
      <c r="A14" s="9" t="n">
        <v>0.458333333333333</v>
      </c>
      <c r="B14" s="10" t="n">
        <v>8</v>
      </c>
      <c r="C14" s="2" t="n">
        <v>20</v>
      </c>
      <c r="D14" s="2" t="n">
        <v>1.225</v>
      </c>
      <c r="E14" s="2" t="n">
        <v>100</v>
      </c>
      <c r="F14" s="2" t="n">
        <v>5</v>
      </c>
      <c r="G14" s="2" t="n">
        <v>0.4</v>
      </c>
      <c r="H14" s="2" t="n">
        <v>0.9</v>
      </c>
      <c r="I14" s="2" t="n">
        <f aca="false">0.5*D14*E14*(B14^3)*G14*H14*F14/1000</f>
        <v>56.448</v>
      </c>
      <c r="J14" s="14"/>
    </row>
    <row r="15" customFormat="false" ht="15" hidden="false" customHeight="false" outlineLevel="0" collapsed="false">
      <c r="A15" s="9" t="n">
        <v>0.5</v>
      </c>
      <c r="B15" s="10" t="n">
        <v>7.8</v>
      </c>
      <c r="C15" s="2" t="n">
        <v>23</v>
      </c>
      <c r="D15" s="2" t="n">
        <v>1.225</v>
      </c>
      <c r="E15" s="2" t="n">
        <v>100</v>
      </c>
      <c r="F15" s="2" t="n">
        <v>5</v>
      </c>
      <c r="G15" s="2" t="n">
        <v>0.4</v>
      </c>
      <c r="H15" s="2" t="n">
        <v>0.9</v>
      </c>
      <c r="I15" s="2" t="n">
        <f aca="false">0.5*D15*E15*(B15^3)*G15*H15*F15/1000</f>
        <v>52.319358</v>
      </c>
      <c r="J15" s="14"/>
    </row>
    <row r="16" customFormat="false" ht="15" hidden="false" customHeight="false" outlineLevel="0" collapsed="false">
      <c r="A16" s="9" t="n">
        <v>0.541666666666667</v>
      </c>
      <c r="B16" s="10" t="n">
        <v>7.5</v>
      </c>
      <c r="C16" s="2" t="n">
        <v>24</v>
      </c>
      <c r="D16" s="2" t="n">
        <v>1.225</v>
      </c>
      <c r="E16" s="2" t="n">
        <v>100</v>
      </c>
      <c r="F16" s="2" t="n">
        <v>5</v>
      </c>
      <c r="G16" s="2" t="n">
        <v>0.4</v>
      </c>
      <c r="H16" s="2" t="n">
        <v>0.9</v>
      </c>
      <c r="I16" s="2" t="n">
        <f aca="false">0.5*D16*E16*(B16^3)*G16*H16*F16/1000</f>
        <v>46.51171875</v>
      </c>
      <c r="J16" s="14"/>
    </row>
    <row r="17" customFormat="false" ht="15" hidden="false" customHeight="false" outlineLevel="0" collapsed="false">
      <c r="A17" s="9" t="n">
        <v>0.583333333333333</v>
      </c>
      <c r="B17" s="10" t="n">
        <v>7.2</v>
      </c>
      <c r="C17" s="2" t="n">
        <v>23</v>
      </c>
      <c r="D17" s="2" t="n">
        <v>1.225</v>
      </c>
      <c r="E17" s="2" t="n">
        <v>100</v>
      </c>
      <c r="F17" s="2" t="n">
        <v>5</v>
      </c>
      <c r="G17" s="2" t="n">
        <v>0.4</v>
      </c>
      <c r="H17" s="2" t="n">
        <v>0.9</v>
      </c>
      <c r="I17" s="2" t="n">
        <f aca="false">0.5*D17*E17*(B17^3)*G17*H17*F17/1000</f>
        <v>41.150592</v>
      </c>
      <c r="J17" s="14"/>
    </row>
    <row r="18" customFormat="false" ht="15" hidden="false" customHeight="false" outlineLevel="0" collapsed="false">
      <c r="A18" s="9" t="n">
        <v>0.625</v>
      </c>
      <c r="B18" s="10" t="n">
        <v>6.9</v>
      </c>
      <c r="C18" s="2" t="n">
        <v>20</v>
      </c>
      <c r="D18" s="2" t="n">
        <v>1.225</v>
      </c>
      <c r="E18" s="2" t="n">
        <v>100</v>
      </c>
      <c r="F18" s="2" t="n">
        <v>5</v>
      </c>
      <c r="G18" s="2" t="n">
        <v>0.4</v>
      </c>
      <c r="H18" s="2" t="n">
        <v>0.9</v>
      </c>
      <c r="I18" s="2" t="n">
        <f aca="false">0.5*D18*E18*(B18^3)*G18*H18*F18/1000</f>
        <v>36.21811725</v>
      </c>
      <c r="J18" s="14"/>
    </row>
    <row r="19" customFormat="false" ht="15" hidden="false" customHeight="false" outlineLevel="0" collapsed="false">
      <c r="A19" s="9" t="n">
        <v>0.666666666666667</v>
      </c>
      <c r="B19" s="10" t="n">
        <v>6.6</v>
      </c>
      <c r="C19" s="2" t="n">
        <v>16</v>
      </c>
      <c r="D19" s="2" t="n">
        <v>1.225</v>
      </c>
      <c r="E19" s="2" t="n">
        <v>100</v>
      </c>
      <c r="F19" s="2" t="n">
        <v>5</v>
      </c>
      <c r="G19" s="2" t="n">
        <v>0.4</v>
      </c>
      <c r="H19" s="2" t="n">
        <v>0.9</v>
      </c>
      <c r="I19" s="2" t="n">
        <f aca="false">0.5*D19*E19*(B19^3)*G19*H19*F19/1000</f>
        <v>31.696434</v>
      </c>
      <c r="J19" s="14"/>
    </row>
    <row r="20" customFormat="false" ht="15" hidden="false" customHeight="false" outlineLevel="0" collapsed="false">
      <c r="A20" s="9" t="n">
        <v>0.708333333333333</v>
      </c>
      <c r="B20" s="10" t="n">
        <v>6.3</v>
      </c>
      <c r="C20" s="2" t="n">
        <v>12</v>
      </c>
      <c r="D20" s="2" t="n">
        <v>1.225</v>
      </c>
      <c r="E20" s="2" t="n">
        <v>100</v>
      </c>
      <c r="F20" s="2" t="n">
        <v>5</v>
      </c>
      <c r="G20" s="2" t="n">
        <v>0.4</v>
      </c>
      <c r="H20" s="2" t="n">
        <v>0.9</v>
      </c>
      <c r="I20" s="2" t="n">
        <f aca="false">0.5*D20*E20*(B20^3)*G20*H20*F20/1000</f>
        <v>27.56768175</v>
      </c>
      <c r="J20" s="14"/>
    </row>
    <row r="21" customFormat="false" ht="15" hidden="false" customHeight="false" outlineLevel="0" collapsed="false">
      <c r="A21" s="9" t="n">
        <v>0.75</v>
      </c>
      <c r="B21" s="10" t="n">
        <v>6</v>
      </c>
      <c r="C21" s="2" t="n">
        <v>10</v>
      </c>
      <c r="D21" s="2" t="n">
        <v>1.225</v>
      </c>
      <c r="E21" s="2" t="n">
        <v>100</v>
      </c>
      <c r="F21" s="2" t="n">
        <v>5</v>
      </c>
      <c r="G21" s="2" t="n">
        <v>0.4</v>
      </c>
      <c r="H21" s="2" t="n">
        <v>0.9</v>
      </c>
      <c r="I21" s="2" t="n">
        <f aca="false">0.5*D21*E21*(B21^3)*G21*H21*F21/1000</f>
        <v>23.814</v>
      </c>
      <c r="J21" s="14"/>
    </row>
    <row r="22" customFormat="false" ht="15" hidden="false" customHeight="false" outlineLevel="0" collapsed="false">
      <c r="A22" s="9" t="n">
        <v>0.791666666666667</v>
      </c>
      <c r="B22" s="10" t="n">
        <v>5.7</v>
      </c>
      <c r="C22" s="2" t="n">
        <v>7</v>
      </c>
      <c r="D22" s="2" t="n">
        <v>1.225</v>
      </c>
      <c r="E22" s="2" t="n">
        <v>100</v>
      </c>
      <c r="F22" s="2" t="n">
        <v>5</v>
      </c>
      <c r="G22" s="2" t="n">
        <v>0.4</v>
      </c>
      <c r="H22" s="2" t="n">
        <v>0.9</v>
      </c>
      <c r="I22" s="2" t="n">
        <f aca="false">0.5*D22*E22*(B22^3)*G22*H22*F22/1000</f>
        <v>20.41752825</v>
      </c>
      <c r="J22" s="14"/>
    </row>
    <row r="23" customFormat="false" ht="15" hidden="false" customHeight="false" outlineLevel="0" collapsed="false">
      <c r="A23" s="9" t="n">
        <v>0.833333333333333</v>
      </c>
      <c r="B23" s="10" t="n">
        <v>5.4</v>
      </c>
      <c r="C23" s="2" t="n">
        <v>6</v>
      </c>
      <c r="D23" s="2" t="n">
        <v>1.225</v>
      </c>
      <c r="E23" s="2" t="n">
        <v>100</v>
      </c>
      <c r="F23" s="2" t="n">
        <v>5</v>
      </c>
      <c r="G23" s="2" t="n">
        <v>0.4</v>
      </c>
      <c r="H23" s="2" t="n">
        <v>0.9</v>
      </c>
      <c r="I23" s="2" t="n">
        <f aca="false">0.5*D23*E23*(B23^3)*G23*H23*F23/1000</f>
        <v>17.360406</v>
      </c>
      <c r="J23" s="14"/>
    </row>
    <row r="24" customFormat="false" ht="15" hidden="false" customHeight="false" outlineLevel="0" collapsed="false">
      <c r="A24" s="9" t="n">
        <v>0.875</v>
      </c>
      <c r="B24" s="10" t="n">
        <v>5.2</v>
      </c>
      <c r="C24" s="2" t="n">
        <v>5</v>
      </c>
      <c r="D24" s="2" t="n">
        <v>1.225</v>
      </c>
      <c r="E24" s="2" t="n">
        <v>100</v>
      </c>
      <c r="F24" s="2" t="n">
        <v>5</v>
      </c>
      <c r="G24" s="2" t="n">
        <v>0.4</v>
      </c>
      <c r="H24" s="2" t="n">
        <v>0.9</v>
      </c>
      <c r="I24" s="2" t="n">
        <f aca="false">0.5*D24*E24*(B24^3)*G24*H24*F24/1000</f>
        <v>15.502032</v>
      </c>
      <c r="J24" s="14"/>
    </row>
    <row r="25" customFormat="false" ht="15" hidden="false" customHeight="false" outlineLevel="0" collapsed="false">
      <c r="A25" s="9" t="n">
        <v>0.916666666666667</v>
      </c>
      <c r="B25" s="10" t="n">
        <v>5.1</v>
      </c>
      <c r="C25" s="2" t="n">
        <v>5</v>
      </c>
      <c r="D25" s="2" t="n">
        <v>1.225</v>
      </c>
      <c r="E25" s="2" t="n">
        <v>100</v>
      </c>
      <c r="F25" s="2" t="n">
        <v>5</v>
      </c>
      <c r="G25" s="2" t="n">
        <v>0.4</v>
      </c>
      <c r="H25" s="2" t="n">
        <v>0.9</v>
      </c>
      <c r="I25" s="2" t="n">
        <f aca="false">0.5*D25*E25*(B25^3)*G25*H25*F25/1000</f>
        <v>14.62477275</v>
      </c>
      <c r="J25" s="14"/>
    </row>
    <row r="26" customFormat="false" ht="15" hidden="false" customHeight="false" outlineLevel="0" collapsed="false">
      <c r="A26" s="9" t="n">
        <v>0.958333333333333</v>
      </c>
      <c r="B26" s="10" t="n">
        <v>5</v>
      </c>
      <c r="C26" s="2" t="n">
        <v>4</v>
      </c>
      <c r="D26" s="2" t="n">
        <v>1.225</v>
      </c>
      <c r="E26" s="2" t="n">
        <v>100</v>
      </c>
      <c r="F26" s="2" t="n">
        <v>5</v>
      </c>
      <c r="G26" s="2" t="n">
        <v>0.4</v>
      </c>
      <c r="H26" s="2" t="n">
        <v>0.9</v>
      </c>
      <c r="I26" s="2" t="n">
        <f aca="false">0.5*D26*E26*(B26^3)*G26*H26*F26/1000</f>
        <v>13.78125</v>
      </c>
      <c r="J26" s="14"/>
    </row>
    <row r="27" customFormat="false" ht="15" hidden="false" customHeight="false" outlineLevel="0" collapsed="false">
      <c r="E27" s="2"/>
      <c r="F27" s="2"/>
      <c r="I27" s="11" t="n">
        <f aca="false">SUM(I3:I26)</f>
        <v>749.65667175</v>
      </c>
      <c r="J27" s="11"/>
    </row>
    <row r="29" customFormat="false" ht="15" hidden="false" customHeight="false" outlineLevel="0" collapsed="false">
      <c r="B29" s="11"/>
      <c r="H29" s="4" t="s">
        <v>9</v>
      </c>
      <c r="I29" s="3" t="n">
        <f aca="false">I27*28*0.9</f>
        <v>18891.3481281</v>
      </c>
      <c r="J29" s="11"/>
    </row>
    <row r="30" customFormat="false" ht="15" hidden="false" customHeight="false" outlineLevel="0" collapsed="false">
      <c r="B30" s="12"/>
    </row>
    <row r="31" customFormat="false" ht="15" hidden="false" customHeight="false" outlineLevel="0" collapsed="false">
      <c r="B31" s="1" t="n">
        <v>2295</v>
      </c>
      <c r="C31" s="1" t="s">
        <v>10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2:K3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F3" activeCellId="0" sqref="F3"/>
    </sheetView>
  </sheetViews>
  <sheetFormatPr defaultColWidth="8.54296875" defaultRowHeight="15" customHeight="false" zeroHeight="false" outlineLevelRow="0" outlineLevelCol="0"/>
  <cols>
    <col collapsed="false" customWidth="true" hidden="false" outlineLevel="0" max="1" min="1" style="1" width="5.57"/>
    <col collapsed="false" customWidth="true" hidden="false" outlineLevel="0" max="2" min="2" style="1" width="15.3"/>
    <col collapsed="false" customWidth="true" hidden="false" outlineLevel="0" max="3" min="3" style="1" width="10.71"/>
    <col collapsed="false" customWidth="true" hidden="false" outlineLevel="0" max="4" min="4" style="1" width="15.42"/>
    <col collapsed="false" customWidth="true" hidden="false" outlineLevel="0" max="5" min="5" style="1" width="12.42"/>
    <col collapsed="false" customWidth="true" hidden="false" outlineLevel="0" max="6" min="6" style="1" width="11.71"/>
    <col collapsed="false" customWidth="true" hidden="false" outlineLevel="0" max="7" min="7" style="1" width="15"/>
    <col collapsed="false" customWidth="true" hidden="false" outlineLevel="0" max="8" min="8" style="2" width="11.71"/>
    <col collapsed="false" customWidth="true" hidden="false" outlineLevel="0" max="9" min="9" style="2" width="16.38"/>
    <col collapsed="false" customWidth="true" hidden="false" outlineLevel="0" max="10" min="10" style="2" width="16"/>
    <col collapsed="false" customWidth="true" hidden="false" outlineLevel="0" max="11" min="11" style="2" width="14.42"/>
  </cols>
  <sheetData>
    <row r="2" customFormat="false" ht="24.05" hidden="false" customHeight="false" outlineLevel="0" collapsed="false">
      <c r="A2" s="4" t="s">
        <v>0</v>
      </c>
      <c r="B2" s="4" t="s">
        <v>1</v>
      </c>
      <c r="C2" s="5" t="s">
        <v>2</v>
      </c>
      <c r="D2" s="6" t="s">
        <v>3</v>
      </c>
      <c r="E2" s="6" t="s">
        <v>4</v>
      </c>
      <c r="F2" s="4" t="s">
        <v>5</v>
      </c>
      <c r="G2" s="7" t="s">
        <v>6</v>
      </c>
      <c r="H2" s="6" t="s">
        <v>7</v>
      </c>
      <c r="I2" s="8" t="s">
        <v>8</v>
      </c>
      <c r="J2" s="4"/>
      <c r="K2" s="4"/>
    </row>
    <row r="3" customFormat="false" ht="15" hidden="false" customHeight="false" outlineLevel="0" collapsed="false">
      <c r="A3" s="9" t="n">
        <v>0</v>
      </c>
      <c r="B3" s="10" t="n">
        <v>4.8</v>
      </c>
      <c r="C3" s="2" t="n">
        <v>4</v>
      </c>
      <c r="D3" s="2" t="n">
        <v>1.225</v>
      </c>
      <c r="E3" s="2" t="n">
        <v>100</v>
      </c>
      <c r="F3" s="2" t="n">
        <v>5</v>
      </c>
      <c r="G3" s="2" t="n">
        <v>0.4</v>
      </c>
      <c r="H3" s="2" t="n">
        <v>0.9</v>
      </c>
      <c r="I3" s="2" t="n">
        <f aca="false">0.5*D3*E3*(B3^3)*G3*H3*F3/1000</f>
        <v>12.192768</v>
      </c>
      <c r="J3" s="14"/>
    </row>
    <row r="4" customFormat="false" ht="15" hidden="false" customHeight="false" outlineLevel="0" collapsed="false">
      <c r="A4" s="9" t="n">
        <v>0.0416666666666667</v>
      </c>
      <c r="B4" s="10" t="n">
        <v>5.1</v>
      </c>
      <c r="C4" s="2" t="n">
        <v>4</v>
      </c>
      <c r="D4" s="2" t="n">
        <v>1.225</v>
      </c>
      <c r="E4" s="2" t="n">
        <v>100</v>
      </c>
      <c r="F4" s="2" t="n">
        <v>5</v>
      </c>
      <c r="G4" s="2" t="n">
        <v>0.4</v>
      </c>
      <c r="H4" s="2" t="n">
        <v>0.9</v>
      </c>
      <c r="I4" s="2" t="n">
        <f aca="false">0.5*D4*E4*(B4^3)*G4*H4*F4/1000</f>
        <v>14.62477275</v>
      </c>
      <c r="J4" s="14"/>
    </row>
    <row r="5" customFormat="false" ht="15" hidden="false" customHeight="false" outlineLevel="0" collapsed="false">
      <c r="A5" s="9" t="n">
        <v>0.0833333333333333</v>
      </c>
      <c r="B5" s="10" t="n">
        <v>5.4</v>
      </c>
      <c r="C5" s="2" t="n">
        <v>3</v>
      </c>
      <c r="D5" s="2" t="n">
        <v>1.225</v>
      </c>
      <c r="E5" s="2" t="n">
        <v>100</v>
      </c>
      <c r="F5" s="2" t="n">
        <v>5</v>
      </c>
      <c r="G5" s="2" t="n">
        <v>0.4</v>
      </c>
      <c r="H5" s="2" t="n">
        <v>0.9</v>
      </c>
      <c r="I5" s="2" t="n">
        <f aca="false">0.5*D5*E5*(B5^3)*G5*H5*F5/1000</f>
        <v>17.360406</v>
      </c>
      <c r="J5" s="14"/>
    </row>
    <row r="6" customFormat="false" ht="15" hidden="false" customHeight="false" outlineLevel="0" collapsed="false">
      <c r="A6" s="9" t="n">
        <v>0.125</v>
      </c>
      <c r="B6" s="10" t="n">
        <v>5.7</v>
      </c>
      <c r="C6" s="2" t="n">
        <v>3</v>
      </c>
      <c r="D6" s="2" t="n">
        <v>1.225</v>
      </c>
      <c r="E6" s="2" t="n">
        <v>100</v>
      </c>
      <c r="F6" s="2" t="n">
        <v>5</v>
      </c>
      <c r="G6" s="2" t="n">
        <v>0.4</v>
      </c>
      <c r="H6" s="2" t="n">
        <v>0.9</v>
      </c>
      <c r="I6" s="2" t="n">
        <f aca="false">0.5*D6*E6*(B6^3)*G6*H6*F6/1000</f>
        <v>20.41752825</v>
      </c>
      <c r="J6" s="14"/>
    </row>
    <row r="7" customFormat="false" ht="15" hidden="false" customHeight="false" outlineLevel="0" collapsed="false">
      <c r="A7" s="9" t="n">
        <v>0.166666666666667</v>
      </c>
      <c r="B7" s="10" t="n">
        <v>6</v>
      </c>
      <c r="C7" s="2" t="n">
        <v>3</v>
      </c>
      <c r="D7" s="2" t="n">
        <v>1.225</v>
      </c>
      <c r="E7" s="2" t="n">
        <v>100</v>
      </c>
      <c r="F7" s="2" t="n">
        <v>5</v>
      </c>
      <c r="G7" s="2" t="n">
        <v>0.4</v>
      </c>
      <c r="H7" s="2" t="n">
        <v>0.9</v>
      </c>
      <c r="I7" s="2" t="n">
        <f aca="false">0.5*D7*E7*(B7^3)*G7*H7*F7/1000</f>
        <v>23.814</v>
      </c>
      <c r="J7" s="14"/>
    </row>
    <row r="8" customFormat="false" ht="15" hidden="false" customHeight="false" outlineLevel="0" collapsed="false">
      <c r="A8" s="9" t="n">
        <v>0.208333333333333</v>
      </c>
      <c r="B8" s="10" t="n">
        <v>6.3</v>
      </c>
      <c r="C8" s="2" t="n">
        <v>4</v>
      </c>
      <c r="D8" s="2" t="n">
        <v>1.225</v>
      </c>
      <c r="E8" s="2" t="n">
        <v>100</v>
      </c>
      <c r="F8" s="2" t="n">
        <v>5</v>
      </c>
      <c r="G8" s="2" t="n">
        <v>0.4</v>
      </c>
      <c r="H8" s="2" t="n">
        <v>0.9</v>
      </c>
      <c r="I8" s="2" t="n">
        <f aca="false">0.5*D8*E8*(B8^3)*G8*H8*F8/1000</f>
        <v>27.56768175</v>
      </c>
      <c r="J8" s="14"/>
    </row>
    <row r="9" customFormat="false" ht="15" hidden="false" customHeight="false" outlineLevel="0" collapsed="false">
      <c r="A9" s="9" t="n">
        <v>0.25</v>
      </c>
      <c r="B9" s="10" t="n">
        <v>6.6</v>
      </c>
      <c r="C9" s="2" t="n">
        <v>4</v>
      </c>
      <c r="D9" s="2" t="n">
        <v>1.225</v>
      </c>
      <c r="E9" s="2" t="n">
        <v>100</v>
      </c>
      <c r="F9" s="2" t="n">
        <v>5</v>
      </c>
      <c r="G9" s="2" t="n">
        <v>0.4</v>
      </c>
      <c r="H9" s="2" t="n">
        <v>0.9</v>
      </c>
      <c r="I9" s="2" t="n">
        <f aca="false">0.5*D9*E9*(B9^3)*G9*H9*F9/1000</f>
        <v>31.696434</v>
      </c>
      <c r="J9" s="14"/>
    </row>
    <row r="10" customFormat="false" ht="15" hidden="false" customHeight="false" outlineLevel="0" collapsed="false">
      <c r="A10" s="9" t="n">
        <v>0.291666666666667</v>
      </c>
      <c r="B10" s="10" t="n">
        <v>6.9</v>
      </c>
      <c r="C10" s="2" t="n">
        <v>5</v>
      </c>
      <c r="D10" s="2" t="n">
        <v>1.225</v>
      </c>
      <c r="E10" s="2" t="n">
        <v>100</v>
      </c>
      <c r="F10" s="2" t="n">
        <v>5</v>
      </c>
      <c r="G10" s="2" t="n">
        <v>0.4</v>
      </c>
      <c r="H10" s="2" t="n">
        <v>0.9</v>
      </c>
      <c r="I10" s="2" t="n">
        <f aca="false">0.5*D10*E10*(B10^3)*G10*H10*F10/1000</f>
        <v>36.21811725</v>
      </c>
      <c r="J10" s="14"/>
    </row>
    <row r="11" customFormat="false" ht="15" hidden="false" customHeight="false" outlineLevel="0" collapsed="false">
      <c r="A11" s="9" t="n">
        <v>0.333333333333333</v>
      </c>
      <c r="B11" s="10" t="n">
        <v>7.2</v>
      </c>
      <c r="C11" s="2" t="n">
        <v>7</v>
      </c>
      <c r="D11" s="2" t="n">
        <v>1.225</v>
      </c>
      <c r="E11" s="2" t="n">
        <v>100</v>
      </c>
      <c r="F11" s="2" t="n">
        <v>5</v>
      </c>
      <c r="G11" s="2" t="n">
        <v>0.4</v>
      </c>
      <c r="H11" s="2" t="n">
        <v>0.9</v>
      </c>
      <c r="I11" s="2" t="n">
        <f aca="false">0.5*D11*E11*(B11^3)*G11*H11*F11/1000</f>
        <v>41.150592</v>
      </c>
      <c r="J11" s="14"/>
    </row>
    <row r="12" customFormat="false" ht="15" hidden="false" customHeight="false" outlineLevel="0" collapsed="false">
      <c r="A12" s="9" t="n">
        <v>0.375</v>
      </c>
      <c r="B12" s="10" t="n">
        <v>7.5</v>
      </c>
      <c r="C12" s="2" t="n">
        <v>10</v>
      </c>
      <c r="D12" s="2" t="n">
        <v>1.225</v>
      </c>
      <c r="E12" s="2" t="n">
        <v>100</v>
      </c>
      <c r="F12" s="2" t="n">
        <v>5</v>
      </c>
      <c r="G12" s="2" t="n">
        <v>0.4</v>
      </c>
      <c r="H12" s="2" t="n">
        <v>0.9</v>
      </c>
      <c r="I12" s="2" t="n">
        <f aca="false">0.5*D12*E12*(B12^3)*G12*H12*F12/1000</f>
        <v>46.51171875</v>
      </c>
      <c r="J12" s="14"/>
    </row>
    <row r="13" customFormat="false" ht="15" hidden="false" customHeight="false" outlineLevel="0" collapsed="false">
      <c r="A13" s="9" t="n">
        <v>0.416666666666667</v>
      </c>
      <c r="B13" s="10" t="n">
        <v>7.7</v>
      </c>
      <c r="C13" s="2" t="n">
        <v>15</v>
      </c>
      <c r="D13" s="2" t="n">
        <v>1.225</v>
      </c>
      <c r="E13" s="2" t="n">
        <v>100</v>
      </c>
      <c r="F13" s="2" t="n">
        <v>5</v>
      </c>
      <c r="G13" s="2" t="n">
        <v>0.4</v>
      </c>
      <c r="H13" s="2" t="n">
        <v>0.9</v>
      </c>
      <c r="I13" s="2" t="n">
        <f aca="false">0.5*D13*E13*(B13^3)*G13*H13*F13/1000</f>
        <v>50.33276325</v>
      </c>
      <c r="J13" s="14"/>
    </row>
    <row r="14" customFormat="false" ht="15" hidden="false" customHeight="false" outlineLevel="0" collapsed="false">
      <c r="A14" s="9" t="n">
        <v>0.458333333333333</v>
      </c>
      <c r="B14" s="10" t="n">
        <v>7.8</v>
      </c>
      <c r="C14" s="2" t="n">
        <v>20</v>
      </c>
      <c r="D14" s="2" t="n">
        <v>1.225</v>
      </c>
      <c r="E14" s="2" t="n">
        <v>100</v>
      </c>
      <c r="F14" s="2" t="n">
        <v>5</v>
      </c>
      <c r="G14" s="2" t="n">
        <v>0.4</v>
      </c>
      <c r="H14" s="2" t="n">
        <v>0.9</v>
      </c>
      <c r="I14" s="2" t="n">
        <f aca="false">0.5*D14*E14*(B14^3)*G14*H14*F14/1000</f>
        <v>52.319358</v>
      </c>
      <c r="J14" s="14"/>
    </row>
    <row r="15" customFormat="false" ht="15" hidden="false" customHeight="false" outlineLevel="0" collapsed="false">
      <c r="A15" s="9" t="n">
        <v>0.5</v>
      </c>
      <c r="B15" s="10" t="n">
        <v>7.6</v>
      </c>
      <c r="C15" s="2" t="n">
        <v>23</v>
      </c>
      <c r="D15" s="2" t="n">
        <v>1.225</v>
      </c>
      <c r="E15" s="2" t="n">
        <v>100</v>
      </c>
      <c r="F15" s="2" t="n">
        <v>5</v>
      </c>
      <c r="G15" s="2" t="n">
        <v>0.4</v>
      </c>
      <c r="H15" s="2" t="n">
        <v>0.9</v>
      </c>
      <c r="I15" s="2" t="n">
        <f aca="false">0.5*D15*E15*(B15^3)*G15*H15*F15/1000</f>
        <v>48.397104</v>
      </c>
      <c r="J15" s="14"/>
    </row>
    <row r="16" customFormat="false" ht="15" hidden="false" customHeight="false" outlineLevel="0" collapsed="false">
      <c r="A16" s="9" t="n">
        <v>0.541666666666667</v>
      </c>
      <c r="B16" s="10" t="n">
        <v>7.3</v>
      </c>
      <c r="C16" s="2" t="n">
        <v>24</v>
      </c>
      <c r="D16" s="2" t="n">
        <v>1.225</v>
      </c>
      <c r="E16" s="2" t="n">
        <v>100</v>
      </c>
      <c r="F16" s="2" t="n">
        <v>5</v>
      </c>
      <c r="G16" s="2" t="n">
        <v>0.4</v>
      </c>
      <c r="H16" s="2" t="n">
        <v>0.9</v>
      </c>
      <c r="I16" s="2" t="n">
        <f aca="false">0.5*D16*E16*(B16^3)*G16*H16*F16/1000</f>
        <v>42.88912425</v>
      </c>
      <c r="J16" s="14"/>
    </row>
    <row r="17" customFormat="false" ht="15" hidden="false" customHeight="false" outlineLevel="0" collapsed="false">
      <c r="A17" s="9" t="n">
        <v>0.583333333333333</v>
      </c>
      <c r="B17" s="10" t="n">
        <v>7</v>
      </c>
      <c r="C17" s="2" t="n">
        <v>23</v>
      </c>
      <c r="D17" s="2" t="n">
        <v>1.225</v>
      </c>
      <c r="E17" s="2" t="n">
        <v>100</v>
      </c>
      <c r="F17" s="2" t="n">
        <v>5</v>
      </c>
      <c r="G17" s="2" t="n">
        <v>0.4</v>
      </c>
      <c r="H17" s="2" t="n">
        <v>0.9</v>
      </c>
      <c r="I17" s="2" t="n">
        <f aca="false">0.5*D17*E17*(B17^3)*G17*H17*F17/1000</f>
        <v>37.81575</v>
      </c>
      <c r="J17" s="14"/>
    </row>
    <row r="18" customFormat="false" ht="15" hidden="false" customHeight="false" outlineLevel="0" collapsed="false">
      <c r="A18" s="9" t="n">
        <v>0.625</v>
      </c>
      <c r="B18" s="10" t="n">
        <v>6.7</v>
      </c>
      <c r="C18" s="2" t="n">
        <v>20</v>
      </c>
      <c r="D18" s="2" t="n">
        <v>1.225</v>
      </c>
      <c r="E18" s="2" t="n">
        <v>100</v>
      </c>
      <c r="F18" s="2" t="n">
        <v>5</v>
      </c>
      <c r="G18" s="2" t="n">
        <v>0.4</v>
      </c>
      <c r="H18" s="2" t="n">
        <v>0.9</v>
      </c>
      <c r="I18" s="2" t="n">
        <f aca="false">0.5*D18*E18*(B18^3)*G18*H18*F18/1000</f>
        <v>33.15912075</v>
      </c>
      <c r="J18" s="14"/>
    </row>
    <row r="19" customFormat="false" ht="15" hidden="false" customHeight="false" outlineLevel="0" collapsed="false">
      <c r="A19" s="9" t="n">
        <v>0.666666666666667</v>
      </c>
      <c r="B19" s="10" t="n">
        <v>6.4</v>
      </c>
      <c r="C19" s="2" t="n">
        <v>16</v>
      </c>
      <c r="D19" s="2" t="n">
        <v>1.225</v>
      </c>
      <c r="E19" s="2" t="n">
        <v>100</v>
      </c>
      <c r="F19" s="2" t="n">
        <v>5</v>
      </c>
      <c r="G19" s="2" t="n">
        <v>0.4</v>
      </c>
      <c r="H19" s="2" t="n">
        <v>0.9</v>
      </c>
      <c r="I19" s="2" t="n">
        <f aca="false">0.5*D19*E19*(B19^3)*G19*H19*F19/1000</f>
        <v>28.901376</v>
      </c>
      <c r="J19" s="14"/>
    </row>
    <row r="20" customFormat="false" ht="15" hidden="false" customHeight="false" outlineLevel="0" collapsed="false">
      <c r="A20" s="9" t="n">
        <v>0.708333333333333</v>
      </c>
      <c r="B20" s="10" t="n">
        <v>6.1</v>
      </c>
      <c r="C20" s="2" t="n">
        <v>12</v>
      </c>
      <c r="D20" s="2" t="n">
        <v>1.225</v>
      </c>
      <c r="E20" s="2" t="n">
        <v>100</v>
      </c>
      <c r="F20" s="2" t="n">
        <v>5</v>
      </c>
      <c r="G20" s="2" t="n">
        <v>0.4</v>
      </c>
      <c r="H20" s="2" t="n">
        <v>0.9</v>
      </c>
      <c r="I20" s="2" t="n">
        <f aca="false">0.5*D20*E20*(B20^3)*G20*H20*F20/1000</f>
        <v>25.02465525</v>
      </c>
      <c r="J20" s="14"/>
    </row>
    <row r="21" customFormat="false" ht="15" hidden="false" customHeight="false" outlineLevel="0" collapsed="false">
      <c r="A21" s="9" t="n">
        <v>0.75</v>
      </c>
      <c r="B21" s="10" t="n">
        <v>5.8</v>
      </c>
      <c r="C21" s="2" t="n">
        <v>10</v>
      </c>
      <c r="D21" s="2" t="n">
        <v>1.225</v>
      </c>
      <c r="E21" s="2" t="n">
        <v>100</v>
      </c>
      <c r="F21" s="2" t="n">
        <v>5</v>
      </c>
      <c r="G21" s="2" t="n">
        <v>0.4</v>
      </c>
      <c r="H21" s="2" t="n">
        <v>0.9</v>
      </c>
      <c r="I21" s="2" t="n">
        <f aca="false">0.5*D21*E21*(B21^3)*G21*H21*F21/1000</f>
        <v>21.511098</v>
      </c>
      <c r="J21" s="14"/>
    </row>
    <row r="22" customFormat="false" ht="15" hidden="false" customHeight="false" outlineLevel="0" collapsed="false">
      <c r="A22" s="9" t="n">
        <v>0.791666666666667</v>
      </c>
      <c r="B22" s="10" t="n">
        <v>5.5</v>
      </c>
      <c r="C22" s="2" t="n">
        <v>7</v>
      </c>
      <c r="D22" s="2" t="n">
        <v>1.225</v>
      </c>
      <c r="E22" s="2" t="n">
        <v>100</v>
      </c>
      <c r="F22" s="2" t="n">
        <v>5</v>
      </c>
      <c r="G22" s="2" t="n">
        <v>0.4</v>
      </c>
      <c r="H22" s="2" t="n">
        <v>0.9</v>
      </c>
      <c r="I22" s="2" t="n">
        <f aca="false">0.5*D22*E22*(B22^3)*G22*H22*F22/1000</f>
        <v>18.34284375</v>
      </c>
      <c r="J22" s="14"/>
    </row>
    <row r="23" customFormat="false" ht="15" hidden="false" customHeight="false" outlineLevel="0" collapsed="false">
      <c r="A23" s="9" t="n">
        <v>0.833333333333333</v>
      </c>
      <c r="B23" s="10" t="n">
        <v>5.2</v>
      </c>
      <c r="C23" s="2" t="n">
        <v>6</v>
      </c>
      <c r="D23" s="2" t="n">
        <v>1.225</v>
      </c>
      <c r="E23" s="2" t="n">
        <v>100</v>
      </c>
      <c r="F23" s="2" t="n">
        <v>5</v>
      </c>
      <c r="G23" s="2" t="n">
        <v>0.4</v>
      </c>
      <c r="H23" s="2" t="n">
        <v>0.9</v>
      </c>
      <c r="I23" s="2" t="n">
        <f aca="false">0.5*D23*E23*(B23^3)*G23*H23*F23/1000</f>
        <v>15.502032</v>
      </c>
      <c r="J23" s="14"/>
    </row>
    <row r="24" customFormat="false" ht="15" hidden="false" customHeight="false" outlineLevel="0" collapsed="false">
      <c r="A24" s="9" t="n">
        <v>0.875</v>
      </c>
      <c r="B24" s="10" t="n">
        <v>5</v>
      </c>
      <c r="C24" s="2" t="n">
        <v>5</v>
      </c>
      <c r="D24" s="2" t="n">
        <v>1.225</v>
      </c>
      <c r="E24" s="2" t="n">
        <v>100</v>
      </c>
      <c r="F24" s="2" t="n">
        <v>5</v>
      </c>
      <c r="G24" s="2" t="n">
        <v>0.4</v>
      </c>
      <c r="H24" s="2" t="n">
        <v>0.9</v>
      </c>
      <c r="I24" s="2" t="n">
        <f aca="false">0.5*D24*E24*(B24^3)*G24*H24*F24/1000</f>
        <v>13.78125</v>
      </c>
      <c r="J24" s="14"/>
    </row>
    <row r="25" customFormat="false" ht="15" hidden="false" customHeight="false" outlineLevel="0" collapsed="false">
      <c r="A25" s="9" t="n">
        <v>0.916666666666667</v>
      </c>
      <c r="B25" s="10" t="n">
        <v>4.9</v>
      </c>
      <c r="C25" s="2" t="n">
        <v>5</v>
      </c>
      <c r="D25" s="2" t="n">
        <v>1.225</v>
      </c>
      <c r="E25" s="2" t="n">
        <v>100</v>
      </c>
      <c r="F25" s="2" t="n">
        <v>5</v>
      </c>
      <c r="G25" s="2" t="n">
        <v>0.4</v>
      </c>
      <c r="H25" s="2" t="n">
        <v>0.9</v>
      </c>
      <c r="I25" s="2" t="n">
        <f aca="false">0.5*D25*E25*(B25^3)*G25*H25*F25/1000</f>
        <v>12.97080225</v>
      </c>
      <c r="J25" s="14"/>
    </row>
    <row r="26" customFormat="false" ht="15" hidden="false" customHeight="false" outlineLevel="0" collapsed="false">
      <c r="A26" s="9" t="n">
        <v>0.958333333333333</v>
      </c>
      <c r="B26" s="10" t="n">
        <v>4.8</v>
      </c>
      <c r="C26" s="2" t="n">
        <v>4</v>
      </c>
      <c r="D26" s="2" t="n">
        <v>1.225</v>
      </c>
      <c r="E26" s="2" t="n">
        <v>100</v>
      </c>
      <c r="F26" s="2" t="n">
        <v>5</v>
      </c>
      <c r="G26" s="2" t="n">
        <v>0.4</v>
      </c>
      <c r="H26" s="2" t="n">
        <v>0.9</v>
      </c>
      <c r="I26" s="2" t="n">
        <f aca="false">0.5*D26*E26*(B26^3)*G26*H26*F26/1000</f>
        <v>12.192768</v>
      </c>
      <c r="J26" s="14"/>
    </row>
    <row r="27" customFormat="false" ht="15" hidden="false" customHeight="false" outlineLevel="0" collapsed="false">
      <c r="I27" s="11" t="n">
        <f aca="false">SUM(I3:I26)</f>
        <v>684.69406425</v>
      </c>
      <c r="J27" s="11"/>
    </row>
    <row r="29" customFormat="false" ht="15" hidden="false" customHeight="false" outlineLevel="0" collapsed="false">
      <c r="B29" s="11" t="n">
        <f aca="false">SUM(B3:B26)*31/1000</f>
        <v>4.6283</v>
      </c>
      <c r="I29" s="4" t="s">
        <v>9</v>
      </c>
      <c r="J29" s="11" t="n">
        <f aca="false">I27*31*0.9</f>
        <v>19102.964392575</v>
      </c>
    </row>
    <row r="30" customFormat="false" ht="15" hidden="false" customHeight="false" outlineLevel="0" collapsed="false">
      <c r="B30" s="12" t="n">
        <f aca="false">B29*31</f>
        <v>143.4773</v>
      </c>
    </row>
    <row r="31" customFormat="false" ht="15" hidden="false" customHeight="false" outlineLevel="0" collapsed="false">
      <c r="B31" s="1" t="n">
        <v>3308</v>
      </c>
      <c r="C31" s="1" t="s">
        <v>10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2:K3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F3" activeCellId="0" sqref="F3"/>
    </sheetView>
  </sheetViews>
  <sheetFormatPr defaultColWidth="8.54296875" defaultRowHeight="15" customHeight="false" zeroHeight="false" outlineLevelRow="0" outlineLevelCol="0"/>
  <cols>
    <col collapsed="false" customWidth="true" hidden="false" outlineLevel="0" max="1" min="1" style="1" width="5.57"/>
    <col collapsed="false" customWidth="true" hidden="false" outlineLevel="0" max="2" min="2" style="1" width="13.98"/>
    <col collapsed="false" customWidth="true" hidden="false" outlineLevel="0" max="3" min="3" style="1" width="10.71"/>
    <col collapsed="false" customWidth="true" hidden="false" outlineLevel="0" max="4" min="4" style="1" width="15.42"/>
    <col collapsed="false" customWidth="true" hidden="false" outlineLevel="0" max="5" min="5" style="1" width="12.42"/>
    <col collapsed="false" customWidth="true" hidden="false" outlineLevel="0" max="6" min="6" style="1" width="11.71"/>
    <col collapsed="false" customWidth="true" hidden="false" outlineLevel="0" max="7" min="7" style="2" width="15"/>
    <col collapsed="false" customWidth="true" hidden="false" outlineLevel="0" max="8" min="8" style="2" width="11.71"/>
    <col collapsed="false" customWidth="true" hidden="false" outlineLevel="0" max="9" min="9" style="2" width="17.13"/>
    <col collapsed="false" customWidth="true" hidden="false" outlineLevel="0" max="10" min="10" style="2" width="16"/>
    <col collapsed="false" customWidth="true" hidden="false" outlineLevel="0" max="11" min="11" style="2" width="14.42"/>
  </cols>
  <sheetData>
    <row r="2" customFormat="false" ht="24.05" hidden="false" customHeight="false" outlineLevel="0" collapsed="false">
      <c r="A2" s="4" t="s">
        <v>0</v>
      </c>
      <c r="B2" s="4" t="s">
        <v>1</v>
      </c>
      <c r="C2" s="5" t="s">
        <v>2</v>
      </c>
      <c r="D2" s="6" t="s">
        <v>3</v>
      </c>
      <c r="E2" s="6" t="s">
        <v>4</v>
      </c>
      <c r="F2" s="4" t="s">
        <v>5</v>
      </c>
      <c r="G2" s="7" t="s">
        <v>6</v>
      </c>
      <c r="H2" s="6" t="s">
        <v>7</v>
      </c>
      <c r="I2" s="8" t="s">
        <v>8</v>
      </c>
      <c r="J2" s="4"/>
      <c r="K2" s="4"/>
    </row>
    <row r="3" customFormat="false" ht="15" hidden="false" customHeight="false" outlineLevel="0" collapsed="false">
      <c r="A3" s="9" t="n">
        <v>0</v>
      </c>
      <c r="B3" s="10" t="n">
        <v>4.5</v>
      </c>
      <c r="C3" s="2" t="n">
        <v>4</v>
      </c>
      <c r="D3" s="2" t="n">
        <v>1.225</v>
      </c>
      <c r="E3" s="2" t="n">
        <v>100</v>
      </c>
      <c r="F3" s="2" t="n">
        <v>5</v>
      </c>
      <c r="G3" s="2" t="n">
        <v>0.4</v>
      </c>
      <c r="H3" s="2" t="n">
        <v>0.9</v>
      </c>
      <c r="I3" s="2" t="n">
        <f aca="false">0.5*D3*E3*(B3^3)*G3*H3*F3/1000</f>
        <v>10.04653125</v>
      </c>
      <c r="J3" s="14"/>
    </row>
    <row r="4" customFormat="false" ht="15" hidden="false" customHeight="false" outlineLevel="0" collapsed="false">
      <c r="A4" s="9" t="n">
        <v>0.0416666666666667</v>
      </c>
      <c r="B4" s="10" t="n">
        <v>4.8</v>
      </c>
      <c r="C4" s="2" t="n">
        <v>4</v>
      </c>
      <c r="D4" s="2" t="n">
        <v>1.225</v>
      </c>
      <c r="E4" s="2" t="n">
        <v>100</v>
      </c>
      <c r="F4" s="2" t="n">
        <v>5</v>
      </c>
      <c r="G4" s="2" t="n">
        <v>0.4</v>
      </c>
      <c r="H4" s="2" t="n">
        <v>0.9</v>
      </c>
      <c r="I4" s="2" t="n">
        <f aca="false">0.5*D4*E4*(B4^3)*G4*H4*F4/1000</f>
        <v>12.192768</v>
      </c>
      <c r="J4" s="14"/>
    </row>
    <row r="5" customFormat="false" ht="15" hidden="false" customHeight="false" outlineLevel="0" collapsed="false">
      <c r="A5" s="9" t="n">
        <v>0.0833333333333333</v>
      </c>
      <c r="B5" s="10" t="n">
        <v>5</v>
      </c>
      <c r="C5" s="2" t="n">
        <v>3</v>
      </c>
      <c r="D5" s="2" t="n">
        <v>1.225</v>
      </c>
      <c r="E5" s="2" t="n">
        <v>100</v>
      </c>
      <c r="F5" s="2" t="n">
        <v>5</v>
      </c>
      <c r="G5" s="2" t="n">
        <v>0.4</v>
      </c>
      <c r="H5" s="2" t="n">
        <v>0.9</v>
      </c>
      <c r="I5" s="2" t="n">
        <f aca="false">0.5*D5*E5*(B5^3)*G5*H5*F5/1000</f>
        <v>13.78125</v>
      </c>
      <c r="J5" s="14"/>
    </row>
    <row r="6" customFormat="false" ht="15" hidden="false" customHeight="false" outlineLevel="0" collapsed="false">
      <c r="A6" s="9" t="n">
        <v>0.125</v>
      </c>
      <c r="B6" s="10" t="n">
        <v>5.3</v>
      </c>
      <c r="C6" s="2" t="n">
        <v>3</v>
      </c>
      <c r="D6" s="2" t="n">
        <v>1.225</v>
      </c>
      <c r="E6" s="2" t="n">
        <v>100</v>
      </c>
      <c r="F6" s="2" t="n">
        <v>5</v>
      </c>
      <c r="G6" s="2" t="n">
        <v>0.4</v>
      </c>
      <c r="H6" s="2" t="n">
        <v>0.9</v>
      </c>
      <c r="I6" s="2" t="n">
        <f aca="false">0.5*D6*E6*(B6^3)*G6*H6*F6/1000</f>
        <v>16.41368925</v>
      </c>
      <c r="J6" s="14"/>
    </row>
    <row r="7" customFormat="false" ht="15" hidden="false" customHeight="false" outlineLevel="0" collapsed="false">
      <c r="A7" s="9" t="n">
        <v>0.166666666666667</v>
      </c>
      <c r="B7" s="10" t="n">
        <v>5.6</v>
      </c>
      <c r="C7" s="2" t="n">
        <v>3</v>
      </c>
      <c r="D7" s="2" t="n">
        <v>1.225</v>
      </c>
      <c r="E7" s="2" t="n">
        <v>100</v>
      </c>
      <c r="F7" s="2" t="n">
        <v>5</v>
      </c>
      <c r="G7" s="2" t="n">
        <v>0.4</v>
      </c>
      <c r="H7" s="2" t="n">
        <v>0.9</v>
      </c>
      <c r="I7" s="2" t="n">
        <f aca="false">0.5*D7*E7*(B7^3)*G7*H7*F7/1000</f>
        <v>19.361664</v>
      </c>
      <c r="J7" s="14"/>
    </row>
    <row r="8" customFormat="false" ht="15" hidden="false" customHeight="false" outlineLevel="0" collapsed="false">
      <c r="A8" s="9" t="n">
        <v>0.208333333333333</v>
      </c>
      <c r="B8" s="10" t="n">
        <v>5.9</v>
      </c>
      <c r="C8" s="2" t="n">
        <v>4</v>
      </c>
      <c r="D8" s="2" t="n">
        <v>1.225</v>
      </c>
      <c r="E8" s="2" t="n">
        <v>100</v>
      </c>
      <c r="F8" s="2" t="n">
        <v>5</v>
      </c>
      <c r="G8" s="2" t="n">
        <v>0.4</v>
      </c>
      <c r="H8" s="2" t="n">
        <v>0.9</v>
      </c>
      <c r="I8" s="2" t="n">
        <f aca="false">0.5*D8*E8*(B8^3)*G8*H8*F8/1000</f>
        <v>22.64303475</v>
      </c>
      <c r="J8" s="14"/>
    </row>
    <row r="9" customFormat="false" ht="15" hidden="false" customHeight="false" outlineLevel="0" collapsed="false">
      <c r="A9" s="9" t="n">
        <v>0.25</v>
      </c>
      <c r="B9" s="10" t="n">
        <v>6.1</v>
      </c>
      <c r="C9" s="2" t="n">
        <v>4</v>
      </c>
      <c r="D9" s="2" t="n">
        <v>1.225</v>
      </c>
      <c r="E9" s="2" t="n">
        <v>100</v>
      </c>
      <c r="F9" s="2" t="n">
        <v>5</v>
      </c>
      <c r="G9" s="2" t="n">
        <v>0.4</v>
      </c>
      <c r="H9" s="2" t="n">
        <v>0.9</v>
      </c>
      <c r="I9" s="2" t="n">
        <f aca="false">0.5*D9*E9*(B9^3)*G9*H9*F9/1000</f>
        <v>25.02465525</v>
      </c>
      <c r="J9" s="14"/>
    </row>
    <row r="10" customFormat="false" ht="15" hidden="false" customHeight="false" outlineLevel="0" collapsed="false">
      <c r="A10" s="9" t="n">
        <v>0.291666666666667</v>
      </c>
      <c r="B10" s="10" t="n">
        <v>6.3</v>
      </c>
      <c r="C10" s="2" t="n">
        <v>5</v>
      </c>
      <c r="D10" s="2" t="n">
        <v>1.225</v>
      </c>
      <c r="E10" s="2" t="n">
        <v>100</v>
      </c>
      <c r="F10" s="2" t="n">
        <v>5</v>
      </c>
      <c r="G10" s="2" t="n">
        <v>0.4</v>
      </c>
      <c r="H10" s="2" t="n">
        <v>0.9</v>
      </c>
      <c r="I10" s="2" t="n">
        <f aca="false">0.5*D10*E10*(B10^3)*G10*H10*F10/1000</f>
        <v>27.56768175</v>
      </c>
      <c r="J10" s="14"/>
    </row>
    <row r="11" customFormat="false" ht="15" hidden="false" customHeight="false" outlineLevel="0" collapsed="false">
      <c r="A11" s="9" t="n">
        <v>0.333333333333333</v>
      </c>
      <c r="B11" s="10" t="n">
        <v>6.5</v>
      </c>
      <c r="C11" s="2" t="n">
        <v>7</v>
      </c>
      <c r="D11" s="2" t="n">
        <v>1.225</v>
      </c>
      <c r="E11" s="2" t="n">
        <v>100</v>
      </c>
      <c r="F11" s="2" t="n">
        <v>5</v>
      </c>
      <c r="G11" s="2" t="n">
        <v>0.4</v>
      </c>
      <c r="H11" s="2" t="n">
        <v>0.9</v>
      </c>
      <c r="I11" s="2" t="n">
        <f aca="false">0.5*D11*E11*(B11^3)*G11*H11*F11/1000</f>
        <v>30.27740625</v>
      </c>
      <c r="J11" s="14"/>
    </row>
    <row r="12" customFormat="false" ht="15" hidden="false" customHeight="false" outlineLevel="0" collapsed="false">
      <c r="A12" s="9" t="n">
        <v>0.375</v>
      </c>
      <c r="B12" s="10" t="n">
        <v>6.7</v>
      </c>
      <c r="C12" s="2" t="n">
        <v>10</v>
      </c>
      <c r="D12" s="2" t="n">
        <v>1.225</v>
      </c>
      <c r="E12" s="2" t="n">
        <v>100</v>
      </c>
      <c r="F12" s="2" t="n">
        <v>5</v>
      </c>
      <c r="G12" s="2" t="n">
        <v>0.4</v>
      </c>
      <c r="H12" s="2" t="n">
        <v>0.9</v>
      </c>
      <c r="I12" s="2" t="n">
        <f aca="false">0.5*D12*E12*(B12^3)*G12*H12*F12/1000</f>
        <v>33.15912075</v>
      </c>
      <c r="J12" s="14"/>
    </row>
    <row r="13" customFormat="false" ht="15" hidden="false" customHeight="false" outlineLevel="0" collapsed="false">
      <c r="A13" s="9" t="n">
        <v>0.416666666666667</v>
      </c>
      <c r="B13" s="10" t="n">
        <v>6.8</v>
      </c>
      <c r="C13" s="2" t="n">
        <v>15</v>
      </c>
      <c r="D13" s="2" t="n">
        <v>1.225</v>
      </c>
      <c r="E13" s="2" t="n">
        <v>100</v>
      </c>
      <c r="F13" s="2" t="n">
        <v>5</v>
      </c>
      <c r="G13" s="2" t="n">
        <v>0.4</v>
      </c>
      <c r="H13" s="2" t="n">
        <v>0.9</v>
      </c>
      <c r="I13" s="2" t="n">
        <f aca="false">0.5*D13*E13*(B13^3)*G13*H13*F13/1000</f>
        <v>34.666128</v>
      </c>
      <c r="J13" s="14"/>
    </row>
    <row r="14" customFormat="false" ht="15" hidden="false" customHeight="false" outlineLevel="0" collapsed="false">
      <c r="A14" s="9" t="n">
        <v>0.458333333333333</v>
      </c>
      <c r="B14" s="10" t="n">
        <v>6.9</v>
      </c>
      <c r="C14" s="2" t="n">
        <v>20</v>
      </c>
      <c r="D14" s="2" t="n">
        <v>1.225</v>
      </c>
      <c r="E14" s="2" t="n">
        <v>100</v>
      </c>
      <c r="F14" s="2" t="n">
        <v>5</v>
      </c>
      <c r="G14" s="2" t="n">
        <v>0.4</v>
      </c>
      <c r="H14" s="2" t="n">
        <v>0.9</v>
      </c>
      <c r="I14" s="2" t="n">
        <f aca="false">0.5*D14*E14*(B14^3)*G14*H14*F14/1000</f>
        <v>36.21811725</v>
      </c>
      <c r="J14" s="14"/>
    </row>
    <row r="15" customFormat="false" ht="15" hidden="false" customHeight="false" outlineLevel="0" collapsed="false">
      <c r="A15" s="9" t="n">
        <v>0.5</v>
      </c>
      <c r="B15" s="10" t="n">
        <v>6.7</v>
      </c>
      <c r="C15" s="2" t="n">
        <v>23</v>
      </c>
      <c r="D15" s="2" t="n">
        <v>1.225</v>
      </c>
      <c r="E15" s="2" t="n">
        <v>100</v>
      </c>
      <c r="F15" s="2" t="n">
        <v>5</v>
      </c>
      <c r="G15" s="2" t="n">
        <v>0.4</v>
      </c>
      <c r="H15" s="2" t="n">
        <v>0.9</v>
      </c>
      <c r="I15" s="2" t="n">
        <f aca="false">0.5*D15*E15*(B15^3)*G15*H15*F15/1000</f>
        <v>33.15912075</v>
      </c>
      <c r="J15" s="14"/>
    </row>
    <row r="16" customFormat="false" ht="15" hidden="false" customHeight="false" outlineLevel="0" collapsed="false">
      <c r="A16" s="9" t="n">
        <v>0.541666666666667</v>
      </c>
      <c r="B16" s="10" t="n">
        <v>6.5</v>
      </c>
      <c r="C16" s="2" t="n">
        <v>24</v>
      </c>
      <c r="D16" s="2" t="n">
        <v>1.225</v>
      </c>
      <c r="E16" s="2" t="n">
        <v>100</v>
      </c>
      <c r="F16" s="2" t="n">
        <v>5</v>
      </c>
      <c r="G16" s="2" t="n">
        <v>0.4</v>
      </c>
      <c r="H16" s="2" t="n">
        <v>0.9</v>
      </c>
      <c r="I16" s="2" t="n">
        <f aca="false">0.5*D16*E16*(B16^3)*G16*H16*F16/1000</f>
        <v>30.27740625</v>
      </c>
      <c r="J16" s="14"/>
    </row>
    <row r="17" customFormat="false" ht="15" hidden="false" customHeight="false" outlineLevel="0" collapsed="false">
      <c r="A17" s="9" t="n">
        <v>0.583333333333333</v>
      </c>
      <c r="B17" s="10" t="n">
        <v>6.3</v>
      </c>
      <c r="C17" s="2" t="n">
        <v>23</v>
      </c>
      <c r="D17" s="2" t="n">
        <v>1.225</v>
      </c>
      <c r="E17" s="2" t="n">
        <v>100</v>
      </c>
      <c r="F17" s="2" t="n">
        <v>5</v>
      </c>
      <c r="G17" s="2" t="n">
        <v>0.4</v>
      </c>
      <c r="H17" s="2" t="n">
        <v>0.9</v>
      </c>
      <c r="I17" s="2" t="n">
        <f aca="false">0.5*D17*E17*(B17^3)*G17*H17*F17/1000</f>
        <v>27.56768175</v>
      </c>
      <c r="J17" s="14"/>
    </row>
    <row r="18" customFormat="false" ht="15" hidden="false" customHeight="false" outlineLevel="0" collapsed="false">
      <c r="A18" s="9" t="n">
        <v>0.625</v>
      </c>
      <c r="B18" s="10" t="n">
        <v>6</v>
      </c>
      <c r="C18" s="2" t="n">
        <v>20</v>
      </c>
      <c r="D18" s="2" t="n">
        <v>1.225</v>
      </c>
      <c r="E18" s="2" t="n">
        <v>100</v>
      </c>
      <c r="F18" s="2" t="n">
        <v>5</v>
      </c>
      <c r="G18" s="2" t="n">
        <v>0.4</v>
      </c>
      <c r="H18" s="2" t="n">
        <v>0.9</v>
      </c>
      <c r="I18" s="2" t="n">
        <f aca="false">0.5*D18*E18*(B18^3)*G18*H18*F18/1000</f>
        <v>23.814</v>
      </c>
      <c r="J18" s="14"/>
    </row>
    <row r="19" customFormat="false" ht="15" hidden="false" customHeight="false" outlineLevel="0" collapsed="false">
      <c r="A19" s="9" t="n">
        <v>0.666666666666667</v>
      </c>
      <c r="B19" s="10" t="n">
        <v>5.8</v>
      </c>
      <c r="C19" s="2" t="n">
        <v>16</v>
      </c>
      <c r="D19" s="2" t="n">
        <v>1.225</v>
      </c>
      <c r="E19" s="2" t="n">
        <v>100</v>
      </c>
      <c r="F19" s="2" t="n">
        <v>5</v>
      </c>
      <c r="G19" s="2" t="n">
        <v>0.4</v>
      </c>
      <c r="H19" s="2" t="n">
        <v>0.9</v>
      </c>
      <c r="I19" s="2" t="n">
        <f aca="false">0.5*D19*E19*(B19^3)*G19*H19*F19/1000</f>
        <v>21.511098</v>
      </c>
      <c r="J19" s="14"/>
    </row>
    <row r="20" customFormat="false" ht="15" hidden="false" customHeight="false" outlineLevel="0" collapsed="false">
      <c r="A20" s="9" t="n">
        <v>0.708333333333333</v>
      </c>
      <c r="B20" s="10" t="n">
        <v>5.5</v>
      </c>
      <c r="C20" s="2" t="n">
        <v>12</v>
      </c>
      <c r="D20" s="2" t="n">
        <v>1.225</v>
      </c>
      <c r="E20" s="2" t="n">
        <v>100</v>
      </c>
      <c r="F20" s="2" t="n">
        <v>5</v>
      </c>
      <c r="G20" s="2" t="n">
        <v>0.4</v>
      </c>
      <c r="H20" s="2" t="n">
        <v>0.9</v>
      </c>
      <c r="I20" s="2" t="n">
        <f aca="false">0.5*D20*E20*(B20^3)*G20*H20*F20/1000</f>
        <v>18.34284375</v>
      </c>
      <c r="J20" s="14"/>
    </row>
    <row r="21" customFormat="false" ht="15" hidden="false" customHeight="false" outlineLevel="0" collapsed="false">
      <c r="A21" s="9" t="n">
        <v>0.75</v>
      </c>
      <c r="B21" s="10" t="n">
        <v>5.2</v>
      </c>
      <c r="C21" s="2" t="n">
        <v>10</v>
      </c>
      <c r="D21" s="2" t="n">
        <v>1.225</v>
      </c>
      <c r="E21" s="2" t="n">
        <v>100</v>
      </c>
      <c r="F21" s="2" t="n">
        <v>5</v>
      </c>
      <c r="G21" s="2" t="n">
        <v>0.4</v>
      </c>
      <c r="H21" s="2" t="n">
        <v>0.9</v>
      </c>
      <c r="I21" s="2" t="n">
        <f aca="false">0.5*D21*E21*(B21^3)*G21*H21*F21/1000</f>
        <v>15.502032</v>
      </c>
      <c r="J21" s="14"/>
    </row>
    <row r="22" customFormat="false" ht="15" hidden="false" customHeight="false" outlineLevel="0" collapsed="false">
      <c r="A22" s="9" t="n">
        <v>0.791666666666667</v>
      </c>
      <c r="B22" s="10" t="n">
        <v>5</v>
      </c>
      <c r="C22" s="2" t="n">
        <v>7</v>
      </c>
      <c r="D22" s="2" t="n">
        <v>1.225</v>
      </c>
      <c r="E22" s="2" t="n">
        <v>100</v>
      </c>
      <c r="F22" s="2" t="n">
        <v>5</v>
      </c>
      <c r="G22" s="2" t="n">
        <v>0.4</v>
      </c>
      <c r="H22" s="2" t="n">
        <v>0.9</v>
      </c>
      <c r="I22" s="2" t="n">
        <f aca="false">0.5*D22*E22*(B22^3)*G22*H22*F22/1000</f>
        <v>13.78125</v>
      </c>
      <c r="J22" s="14"/>
    </row>
    <row r="23" customFormat="false" ht="15" hidden="false" customHeight="false" outlineLevel="0" collapsed="false">
      <c r="A23" s="9" t="n">
        <v>0.833333333333333</v>
      </c>
      <c r="B23" s="10" t="n">
        <v>4.8</v>
      </c>
      <c r="C23" s="2" t="n">
        <v>6</v>
      </c>
      <c r="D23" s="2" t="n">
        <v>1.225</v>
      </c>
      <c r="E23" s="2" t="n">
        <v>100</v>
      </c>
      <c r="F23" s="2" t="n">
        <v>5</v>
      </c>
      <c r="G23" s="2" t="n">
        <v>0.4</v>
      </c>
      <c r="H23" s="2" t="n">
        <v>0.9</v>
      </c>
      <c r="I23" s="2" t="n">
        <f aca="false">0.5*D23*E23*(B23^3)*G23*H23*F23/1000</f>
        <v>12.192768</v>
      </c>
      <c r="J23" s="14"/>
    </row>
    <row r="24" customFormat="false" ht="15" hidden="false" customHeight="false" outlineLevel="0" collapsed="false">
      <c r="A24" s="9" t="n">
        <v>0.875</v>
      </c>
      <c r="B24" s="10" t="n">
        <v>4.6</v>
      </c>
      <c r="C24" s="2" t="n">
        <v>5</v>
      </c>
      <c r="D24" s="2" t="n">
        <v>1.225</v>
      </c>
      <c r="E24" s="2" t="n">
        <v>100</v>
      </c>
      <c r="F24" s="2" t="n">
        <v>5</v>
      </c>
      <c r="G24" s="2" t="n">
        <v>0.4</v>
      </c>
      <c r="H24" s="2" t="n">
        <v>0.9</v>
      </c>
      <c r="I24" s="2" t="n">
        <f aca="false">0.5*D24*E24*(B24^3)*G24*H24*F24/1000</f>
        <v>10.731294</v>
      </c>
      <c r="J24" s="14"/>
    </row>
    <row r="25" customFormat="false" ht="15" hidden="false" customHeight="false" outlineLevel="0" collapsed="false">
      <c r="A25" s="9" t="n">
        <v>0.916666666666667</v>
      </c>
      <c r="B25" s="10" t="n">
        <v>4.5</v>
      </c>
      <c r="C25" s="2" t="n">
        <v>5</v>
      </c>
      <c r="D25" s="2" t="n">
        <v>1.225</v>
      </c>
      <c r="E25" s="2" t="n">
        <v>100</v>
      </c>
      <c r="F25" s="2" t="n">
        <v>5</v>
      </c>
      <c r="G25" s="2" t="n">
        <v>0.4</v>
      </c>
      <c r="H25" s="2" t="n">
        <v>0.9</v>
      </c>
      <c r="I25" s="2" t="n">
        <f aca="false">0.5*D25*E25*(B25^3)*G25*H25*F25/1000</f>
        <v>10.04653125</v>
      </c>
      <c r="J25" s="14"/>
    </row>
    <row r="26" customFormat="false" ht="15" hidden="false" customHeight="false" outlineLevel="0" collapsed="false">
      <c r="A26" s="9" t="n">
        <v>0.958333333333333</v>
      </c>
      <c r="B26" s="10" t="n">
        <v>4.5</v>
      </c>
      <c r="C26" s="2" t="n">
        <v>4</v>
      </c>
      <c r="D26" s="2" t="n">
        <v>1.225</v>
      </c>
      <c r="E26" s="2" t="n">
        <v>100</v>
      </c>
      <c r="F26" s="2" t="n">
        <v>5</v>
      </c>
      <c r="G26" s="2" t="n">
        <v>0.4</v>
      </c>
      <c r="H26" s="2" t="n">
        <v>0.9</v>
      </c>
      <c r="I26" s="2" t="n">
        <f aca="false">0.5*D26*E26*(B26^3)*G26*H26*F26/1000</f>
        <v>10.04653125</v>
      </c>
      <c r="J26" s="14"/>
    </row>
    <row r="27" customFormat="false" ht="15" hidden="false" customHeight="false" outlineLevel="0" collapsed="false">
      <c r="I27" s="11" t="n">
        <f aca="false">SUM(I3:I26)</f>
        <v>508.3246035</v>
      </c>
      <c r="J27" s="11"/>
    </row>
    <row r="29" customFormat="false" ht="15" hidden="false" customHeight="false" outlineLevel="0" collapsed="false">
      <c r="B29" s="11" t="n">
        <f aca="false">SUM(B3:B26)*30/1000</f>
        <v>4.074</v>
      </c>
      <c r="I29" s="4" t="s">
        <v>9</v>
      </c>
      <c r="J29" s="11" t="n">
        <f aca="false">I27*30*0.9</f>
        <v>13724.7642945</v>
      </c>
    </row>
    <row r="30" customFormat="false" ht="15" hidden="false" customHeight="false" outlineLevel="0" collapsed="false">
      <c r="B30" s="12" t="n">
        <f aca="false">B29*30</f>
        <v>122.22</v>
      </c>
    </row>
    <row r="31" customFormat="false" ht="15" hidden="false" customHeight="false" outlineLevel="0" collapsed="false">
      <c r="B31" s="1" t="n">
        <v>4771</v>
      </c>
      <c r="C31" s="1" t="s">
        <v>10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2:K3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C1" activeCellId="0" sqref="C1"/>
    </sheetView>
  </sheetViews>
  <sheetFormatPr defaultColWidth="8.54296875" defaultRowHeight="15" customHeight="false" zeroHeight="false" outlineLevelRow="0" outlineLevelCol="0"/>
  <cols>
    <col collapsed="false" customWidth="true" hidden="false" outlineLevel="0" max="1" min="1" style="1" width="5.57"/>
    <col collapsed="false" customWidth="true" hidden="false" outlineLevel="0" max="2" min="2" style="1" width="17.61"/>
    <col collapsed="false" customWidth="true" hidden="false" outlineLevel="0" max="3" min="3" style="1" width="10.71"/>
    <col collapsed="false" customWidth="true" hidden="false" outlineLevel="0" max="4" min="4" style="1" width="15.42"/>
    <col collapsed="false" customWidth="true" hidden="false" outlineLevel="0" max="5" min="5" style="2" width="12.42"/>
    <col collapsed="false" customWidth="true" hidden="false" outlineLevel="0" max="6" min="6" style="2" width="11.71"/>
    <col collapsed="false" customWidth="true" hidden="false" outlineLevel="0" max="7" min="7" style="2" width="15"/>
    <col collapsed="false" customWidth="true" hidden="false" outlineLevel="0" max="8" min="8" style="2" width="11.71"/>
    <col collapsed="false" customWidth="true" hidden="false" outlineLevel="0" max="9" min="9" style="2" width="17.07"/>
    <col collapsed="false" customWidth="true" hidden="false" outlineLevel="0" max="10" min="10" style="2" width="16"/>
    <col collapsed="false" customWidth="true" hidden="false" outlineLevel="0" max="11" min="11" style="2" width="14.42"/>
    <col collapsed="false" customWidth="true" hidden="false" outlineLevel="0" max="13" min="12" style="2" width="8.86"/>
  </cols>
  <sheetData>
    <row r="2" customFormat="false" ht="24.05" hidden="false" customHeight="false" outlineLevel="0" collapsed="false">
      <c r="A2" s="4" t="s">
        <v>0</v>
      </c>
      <c r="B2" s="4" t="s">
        <v>1</v>
      </c>
      <c r="C2" s="5" t="s">
        <v>2</v>
      </c>
      <c r="D2" s="6" t="s">
        <v>3</v>
      </c>
      <c r="E2" s="6" t="s">
        <v>4</v>
      </c>
      <c r="F2" s="4" t="s">
        <v>5</v>
      </c>
      <c r="G2" s="7" t="s">
        <v>6</v>
      </c>
      <c r="H2" s="6" t="s">
        <v>7</v>
      </c>
      <c r="I2" s="8" t="s">
        <v>8</v>
      </c>
      <c r="J2" s="4"/>
      <c r="K2" s="4"/>
    </row>
    <row r="3" customFormat="false" ht="15" hidden="false" customHeight="false" outlineLevel="0" collapsed="false">
      <c r="A3" s="9" t="n">
        <v>0</v>
      </c>
      <c r="B3" s="10" t="n">
        <v>4.2</v>
      </c>
      <c r="C3" s="2" t="n">
        <v>4</v>
      </c>
      <c r="D3" s="2" t="n">
        <v>1.225</v>
      </c>
      <c r="E3" s="2" t="n">
        <v>100</v>
      </c>
      <c r="F3" s="2" t="n">
        <v>5</v>
      </c>
      <c r="G3" s="2" t="n">
        <v>0.4</v>
      </c>
      <c r="H3" s="2" t="n">
        <v>0.9</v>
      </c>
      <c r="I3" s="2" t="n">
        <f aca="false">0.5*D3*E3*(B3^3)*G3*H3*F3/1000</f>
        <v>8.168202</v>
      </c>
      <c r="J3" s="14"/>
    </row>
    <row r="4" customFormat="false" ht="15" hidden="false" customHeight="false" outlineLevel="0" collapsed="false">
      <c r="A4" s="9" t="n">
        <v>0.0416666666666667</v>
      </c>
      <c r="B4" s="10" t="n">
        <v>4.5</v>
      </c>
      <c r="C4" s="2" t="n">
        <v>4</v>
      </c>
      <c r="D4" s="2" t="n">
        <v>1.225</v>
      </c>
      <c r="E4" s="2" t="n">
        <v>100</v>
      </c>
      <c r="F4" s="2" t="n">
        <v>5</v>
      </c>
      <c r="G4" s="2" t="n">
        <v>0.4</v>
      </c>
      <c r="H4" s="2" t="n">
        <v>0.9</v>
      </c>
      <c r="I4" s="2" t="n">
        <f aca="false">0.5*D4*E4*(B4^3)*G4*H4*F4/1000</f>
        <v>10.04653125</v>
      </c>
      <c r="J4" s="14"/>
    </row>
    <row r="5" customFormat="false" ht="15" hidden="false" customHeight="false" outlineLevel="0" collapsed="false">
      <c r="A5" s="9" t="n">
        <v>0.0833333333333333</v>
      </c>
      <c r="B5" s="10" t="n">
        <v>4.7</v>
      </c>
      <c r="C5" s="2" t="n">
        <v>3</v>
      </c>
      <c r="D5" s="2" t="n">
        <v>1.225</v>
      </c>
      <c r="E5" s="2" t="n">
        <v>100</v>
      </c>
      <c r="F5" s="2" t="n">
        <v>5</v>
      </c>
      <c r="G5" s="2" t="n">
        <v>0.4</v>
      </c>
      <c r="H5" s="2" t="n">
        <v>0.9</v>
      </c>
      <c r="I5" s="2" t="n">
        <f aca="false">0.5*D5*E5*(B5^3)*G5*H5*F5/1000</f>
        <v>11.44648575</v>
      </c>
      <c r="J5" s="14"/>
    </row>
    <row r="6" customFormat="false" ht="15" hidden="false" customHeight="false" outlineLevel="0" collapsed="false">
      <c r="A6" s="9" t="n">
        <v>0.125</v>
      </c>
      <c r="B6" s="10" t="n">
        <v>5</v>
      </c>
      <c r="C6" s="2" t="n">
        <v>3</v>
      </c>
      <c r="D6" s="2" t="n">
        <v>1.225</v>
      </c>
      <c r="E6" s="2" t="n">
        <v>100</v>
      </c>
      <c r="F6" s="2" t="n">
        <v>5</v>
      </c>
      <c r="G6" s="2" t="n">
        <v>0.4</v>
      </c>
      <c r="H6" s="2" t="n">
        <v>0.9</v>
      </c>
      <c r="I6" s="2" t="n">
        <f aca="false">0.5*D6*E6*(B6^3)*G6*H6*F6/1000</f>
        <v>13.78125</v>
      </c>
      <c r="J6" s="14"/>
    </row>
    <row r="7" customFormat="false" ht="15" hidden="false" customHeight="false" outlineLevel="0" collapsed="false">
      <c r="A7" s="9" t="n">
        <v>0.166666666666667</v>
      </c>
      <c r="B7" s="10" t="n">
        <v>5.2</v>
      </c>
      <c r="C7" s="2" t="n">
        <v>3</v>
      </c>
      <c r="D7" s="2" t="n">
        <v>1.225</v>
      </c>
      <c r="E7" s="2" t="n">
        <v>100</v>
      </c>
      <c r="F7" s="2" t="n">
        <v>5</v>
      </c>
      <c r="G7" s="2" t="n">
        <v>0.4</v>
      </c>
      <c r="H7" s="2" t="n">
        <v>0.9</v>
      </c>
      <c r="I7" s="2" t="n">
        <f aca="false">0.5*D7*E7*(B7^3)*G7*H7*F7/1000</f>
        <v>15.502032</v>
      </c>
      <c r="J7" s="14"/>
    </row>
    <row r="8" customFormat="false" ht="15" hidden="false" customHeight="false" outlineLevel="0" collapsed="false">
      <c r="A8" s="9" t="n">
        <v>0.208333333333333</v>
      </c>
      <c r="B8" s="10" t="n">
        <v>5.5</v>
      </c>
      <c r="C8" s="2" t="n">
        <v>4</v>
      </c>
      <c r="D8" s="2" t="n">
        <v>1.225</v>
      </c>
      <c r="E8" s="2" t="n">
        <v>100</v>
      </c>
      <c r="F8" s="2" t="n">
        <v>5</v>
      </c>
      <c r="G8" s="2" t="n">
        <v>0.4</v>
      </c>
      <c r="H8" s="2" t="n">
        <v>0.9</v>
      </c>
      <c r="I8" s="2" t="n">
        <f aca="false">0.5*D8*E8*(B8^3)*G8*H8*F8/1000</f>
        <v>18.34284375</v>
      </c>
      <c r="J8" s="14"/>
    </row>
    <row r="9" customFormat="false" ht="15" hidden="false" customHeight="false" outlineLevel="0" collapsed="false">
      <c r="A9" s="9" t="n">
        <v>0.25</v>
      </c>
      <c r="B9" s="10" t="n">
        <v>5.7</v>
      </c>
      <c r="C9" s="2" t="n">
        <v>4</v>
      </c>
      <c r="D9" s="2" t="n">
        <v>1.225</v>
      </c>
      <c r="E9" s="2" t="n">
        <v>100</v>
      </c>
      <c r="F9" s="2" t="n">
        <v>5</v>
      </c>
      <c r="G9" s="2" t="n">
        <v>0.4</v>
      </c>
      <c r="H9" s="2" t="n">
        <v>0.9</v>
      </c>
      <c r="I9" s="2" t="n">
        <f aca="false">0.5*D9*E9*(B9^3)*G9*H9*F9/1000</f>
        <v>20.41752825</v>
      </c>
      <c r="J9" s="14"/>
    </row>
    <row r="10" customFormat="false" ht="15" hidden="false" customHeight="false" outlineLevel="0" collapsed="false">
      <c r="A10" s="9" t="n">
        <v>0.291666666666667</v>
      </c>
      <c r="B10" s="10" t="n">
        <v>5.9</v>
      </c>
      <c r="C10" s="2" t="n">
        <v>5</v>
      </c>
      <c r="D10" s="2" t="n">
        <v>1.225</v>
      </c>
      <c r="E10" s="2" t="n">
        <v>100</v>
      </c>
      <c r="F10" s="2" t="n">
        <v>5</v>
      </c>
      <c r="G10" s="2" t="n">
        <v>0.4</v>
      </c>
      <c r="H10" s="2" t="n">
        <v>0.9</v>
      </c>
      <c r="I10" s="2" t="n">
        <f aca="false">0.5*D10*E10*(B10^3)*G10*H10*F10/1000</f>
        <v>22.64303475</v>
      </c>
      <c r="J10" s="14"/>
    </row>
    <row r="11" customFormat="false" ht="15" hidden="false" customHeight="false" outlineLevel="0" collapsed="false">
      <c r="A11" s="9" t="n">
        <v>0.333333333333333</v>
      </c>
      <c r="B11" s="10" t="n">
        <v>6.1</v>
      </c>
      <c r="C11" s="2" t="n">
        <v>7</v>
      </c>
      <c r="D11" s="2" t="n">
        <v>1.225</v>
      </c>
      <c r="E11" s="2" t="n">
        <v>100</v>
      </c>
      <c r="F11" s="2" t="n">
        <v>5</v>
      </c>
      <c r="G11" s="2" t="n">
        <v>0.4</v>
      </c>
      <c r="H11" s="2" t="n">
        <v>0.9</v>
      </c>
      <c r="I11" s="2" t="n">
        <f aca="false">0.5*D11*E11*(B11^3)*G11*H11*F11/1000</f>
        <v>25.02465525</v>
      </c>
      <c r="J11" s="14"/>
    </row>
    <row r="12" customFormat="false" ht="15" hidden="false" customHeight="false" outlineLevel="0" collapsed="false">
      <c r="A12" s="9" t="n">
        <v>0.375</v>
      </c>
      <c r="B12" s="10" t="n">
        <v>6.3</v>
      </c>
      <c r="C12" s="2" t="n">
        <v>10</v>
      </c>
      <c r="D12" s="2" t="n">
        <v>1.225</v>
      </c>
      <c r="E12" s="2" t="n">
        <v>100</v>
      </c>
      <c r="F12" s="2" t="n">
        <v>5</v>
      </c>
      <c r="G12" s="2" t="n">
        <v>0.4</v>
      </c>
      <c r="H12" s="2" t="n">
        <v>0.9</v>
      </c>
      <c r="I12" s="2" t="n">
        <f aca="false">0.5*D12*E12*(B12^3)*G12*H12*F12/1000</f>
        <v>27.56768175</v>
      </c>
      <c r="J12" s="14"/>
    </row>
    <row r="13" customFormat="false" ht="15" hidden="false" customHeight="false" outlineLevel="0" collapsed="false">
      <c r="A13" s="9" t="n">
        <v>0.416666666666667</v>
      </c>
      <c r="B13" s="10" t="n">
        <v>6.5</v>
      </c>
      <c r="C13" s="2" t="n">
        <v>15</v>
      </c>
      <c r="D13" s="2" t="n">
        <v>1.225</v>
      </c>
      <c r="E13" s="2" t="n">
        <v>100</v>
      </c>
      <c r="F13" s="2" t="n">
        <v>5</v>
      </c>
      <c r="G13" s="2" t="n">
        <v>0.4</v>
      </c>
      <c r="H13" s="2" t="n">
        <v>0.9</v>
      </c>
      <c r="I13" s="2" t="n">
        <f aca="false">0.5*D13*E13*(B13^3)*G13*H13*F13/1000</f>
        <v>30.27740625</v>
      </c>
      <c r="J13" s="14"/>
    </row>
    <row r="14" customFormat="false" ht="15" hidden="false" customHeight="false" outlineLevel="0" collapsed="false">
      <c r="A14" s="9" t="n">
        <v>0.458333333333333</v>
      </c>
      <c r="B14" s="10" t="n">
        <v>6.6</v>
      </c>
      <c r="C14" s="2" t="n">
        <v>20</v>
      </c>
      <c r="D14" s="2" t="n">
        <v>1.225</v>
      </c>
      <c r="E14" s="2" t="n">
        <v>100</v>
      </c>
      <c r="F14" s="2" t="n">
        <v>5</v>
      </c>
      <c r="G14" s="2" t="n">
        <v>0.4</v>
      </c>
      <c r="H14" s="2" t="n">
        <v>0.9</v>
      </c>
      <c r="I14" s="2" t="n">
        <f aca="false">0.5*D14*E14*(B14^3)*G14*H14*F14/1000</f>
        <v>31.696434</v>
      </c>
      <c r="J14" s="14"/>
    </row>
    <row r="15" customFormat="false" ht="15" hidden="false" customHeight="false" outlineLevel="0" collapsed="false">
      <c r="A15" s="9" t="n">
        <v>0.5</v>
      </c>
      <c r="B15" s="10" t="n">
        <v>6.4</v>
      </c>
      <c r="C15" s="2" t="n">
        <v>23</v>
      </c>
      <c r="D15" s="2" t="n">
        <v>1.225</v>
      </c>
      <c r="E15" s="2" t="n">
        <v>100</v>
      </c>
      <c r="F15" s="2" t="n">
        <v>5</v>
      </c>
      <c r="G15" s="2" t="n">
        <v>0.4</v>
      </c>
      <c r="H15" s="2" t="n">
        <v>0.9</v>
      </c>
      <c r="I15" s="2" t="n">
        <f aca="false">0.5*D15*E15*(B15^3)*G15*H15*F15/1000</f>
        <v>28.901376</v>
      </c>
      <c r="J15" s="14"/>
    </row>
    <row r="16" customFormat="false" ht="15" hidden="false" customHeight="false" outlineLevel="0" collapsed="false">
      <c r="A16" s="9" t="n">
        <v>0.541666666666667</v>
      </c>
      <c r="B16" s="10" t="n">
        <v>6.2</v>
      </c>
      <c r="C16" s="2" t="n">
        <v>24</v>
      </c>
      <c r="D16" s="2" t="n">
        <v>1.225</v>
      </c>
      <c r="E16" s="2" t="n">
        <v>100</v>
      </c>
      <c r="F16" s="2" t="n">
        <v>5</v>
      </c>
      <c r="G16" s="2" t="n">
        <v>0.4</v>
      </c>
      <c r="H16" s="2" t="n">
        <v>0.9</v>
      </c>
      <c r="I16" s="2" t="n">
        <f aca="false">0.5*D16*E16*(B16^3)*G16*H16*F16/1000</f>
        <v>26.275662</v>
      </c>
      <c r="J16" s="14"/>
    </row>
    <row r="17" customFormat="false" ht="15" hidden="false" customHeight="false" outlineLevel="0" collapsed="false">
      <c r="A17" s="9" t="n">
        <v>0.583333333333333</v>
      </c>
      <c r="B17" s="10" t="n">
        <v>6</v>
      </c>
      <c r="C17" s="2" t="n">
        <v>23</v>
      </c>
      <c r="D17" s="2" t="n">
        <v>1.225</v>
      </c>
      <c r="E17" s="2" t="n">
        <v>100</v>
      </c>
      <c r="F17" s="2" t="n">
        <v>5</v>
      </c>
      <c r="G17" s="2" t="n">
        <v>0.4</v>
      </c>
      <c r="H17" s="2" t="n">
        <v>0.9</v>
      </c>
      <c r="I17" s="2" t="n">
        <f aca="false">0.5*D17*E17*(B17^3)*G17*H17*F17/1000</f>
        <v>23.814</v>
      </c>
      <c r="J17" s="14"/>
    </row>
    <row r="18" customFormat="false" ht="15" hidden="false" customHeight="false" outlineLevel="0" collapsed="false">
      <c r="A18" s="9" t="n">
        <v>0.625</v>
      </c>
      <c r="B18" s="10" t="n">
        <v>5.7</v>
      </c>
      <c r="C18" s="2" t="n">
        <v>20</v>
      </c>
      <c r="D18" s="2" t="n">
        <v>1.225</v>
      </c>
      <c r="E18" s="2" t="n">
        <v>100</v>
      </c>
      <c r="F18" s="2" t="n">
        <v>5</v>
      </c>
      <c r="G18" s="2" t="n">
        <v>0.4</v>
      </c>
      <c r="H18" s="2" t="n">
        <v>0.9</v>
      </c>
      <c r="I18" s="2" t="n">
        <f aca="false">0.5*D18*E18*(B18^3)*G18*H18*F18/1000</f>
        <v>20.41752825</v>
      </c>
      <c r="J18" s="14"/>
    </row>
    <row r="19" customFormat="false" ht="15" hidden="false" customHeight="false" outlineLevel="0" collapsed="false">
      <c r="A19" s="9" t="n">
        <v>0.666666666666667</v>
      </c>
      <c r="B19" s="10" t="n">
        <v>5.5</v>
      </c>
      <c r="C19" s="2" t="n">
        <v>16</v>
      </c>
      <c r="D19" s="2" t="n">
        <v>1.225</v>
      </c>
      <c r="E19" s="2" t="n">
        <v>100</v>
      </c>
      <c r="F19" s="2" t="n">
        <v>5</v>
      </c>
      <c r="G19" s="2" t="n">
        <v>0.4</v>
      </c>
      <c r="H19" s="2" t="n">
        <v>0.9</v>
      </c>
      <c r="I19" s="2" t="n">
        <f aca="false">0.5*D19*E19*(B19^3)*G19*H19*F19/1000</f>
        <v>18.34284375</v>
      </c>
      <c r="J19" s="14"/>
    </row>
    <row r="20" customFormat="false" ht="15" hidden="false" customHeight="false" outlineLevel="0" collapsed="false">
      <c r="A20" s="9" t="n">
        <v>0.708333333333333</v>
      </c>
      <c r="B20" s="10" t="n">
        <v>5.2</v>
      </c>
      <c r="C20" s="2" t="n">
        <v>12</v>
      </c>
      <c r="D20" s="2" t="n">
        <v>1.225</v>
      </c>
      <c r="E20" s="2" t="n">
        <v>100</v>
      </c>
      <c r="F20" s="2" t="n">
        <v>5</v>
      </c>
      <c r="G20" s="2" t="n">
        <v>0.4</v>
      </c>
      <c r="H20" s="2" t="n">
        <v>0.9</v>
      </c>
      <c r="I20" s="2" t="n">
        <f aca="false">0.5*D20*E20*(B20^3)*G20*H20*F20/1000</f>
        <v>15.502032</v>
      </c>
      <c r="J20" s="14"/>
    </row>
    <row r="21" customFormat="false" ht="15" hidden="false" customHeight="false" outlineLevel="0" collapsed="false">
      <c r="A21" s="9" t="n">
        <v>0.75</v>
      </c>
      <c r="B21" s="10" t="n">
        <v>5</v>
      </c>
      <c r="C21" s="2" t="n">
        <v>10</v>
      </c>
      <c r="D21" s="2" t="n">
        <v>1.225</v>
      </c>
      <c r="E21" s="2" t="n">
        <v>100</v>
      </c>
      <c r="F21" s="2" t="n">
        <v>5</v>
      </c>
      <c r="G21" s="2" t="n">
        <v>0.4</v>
      </c>
      <c r="H21" s="2" t="n">
        <v>0.9</v>
      </c>
      <c r="I21" s="2" t="n">
        <f aca="false">0.5*D21*E21*(B21^3)*G21*H21*F21/1000</f>
        <v>13.78125</v>
      </c>
      <c r="J21" s="14"/>
    </row>
    <row r="22" customFormat="false" ht="15" hidden="false" customHeight="false" outlineLevel="0" collapsed="false">
      <c r="A22" s="9" t="n">
        <v>0.791666666666667</v>
      </c>
      <c r="B22" s="10" t="n">
        <v>4.7</v>
      </c>
      <c r="C22" s="2" t="n">
        <v>7</v>
      </c>
      <c r="D22" s="2" t="n">
        <v>1.225</v>
      </c>
      <c r="E22" s="2" t="n">
        <v>100</v>
      </c>
      <c r="F22" s="2" t="n">
        <v>5</v>
      </c>
      <c r="G22" s="2" t="n">
        <v>0.4</v>
      </c>
      <c r="H22" s="2" t="n">
        <v>0.9</v>
      </c>
      <c r="I22" s="2" t="n">
        <f aca="false">0.5*D22*E22*(B22^3)*G22*H22*F22/1000</f>
        <v>11.44648575</v>
      </c>
      <c r="J22" s="14"/>
    </row>
    <row r="23" customFormat="false" ht="15" hidden="false" customHeight="false" outlineLevel="0" collapsed="false">
      <c r="A23" s="9" t="n">
        <v>0.833333333333333</v>
      </c>
      <c r="B23" s="10" t="n">
        <v>4.5</v>
      </c>
      <c r="C23" s="2" t="n">
        <v>6</v>
      </c>
      <c r="D23" s="2" t="n">
        <v>1.225</v>
      </c>
      <c r="E23" s="2" t="n">
        <v>100</v>
      </c>
      <c r="F23" s="2" t="n">
        <v>5</v>
      </c>
      <c r="G23" s="2" t="n">
        <v>0.4</v>
      </c>
      <c r="H23" s="2" t="n">
        <v>0.9</v>
      </c>
      <c r="I23" s="2" t="n">
        <f aca="false">0.5*D23*E23*(B23^3)*G23*H23*F23/1000</f>
        <v>10.04653125</v>
      </c>
      <c r="J23" s="14"/>
    </row>
    <row r="24" customFormat="false" ht="15" hidden="false" customHeight="false" outlineLevel="0" collapsed="false">
      <c r="A24" s="9" t="n">
        <v>0.875</v>
      </c>
      <c r="B24" s="10" t="n">
        <v>4.3</v>
      </c>
      <c r="C24" s="2" t="n">
        <v>5</v>
      </c>
      <c r="D24" s="2" t="n">
        <v>1.225</v>
      </c>
      <c r="E24" s="2" t="n">
        <v>100</v>
      </c>
      <c r="F24" s="2" t="n">
        <v>5</v>
      </c>
      <c r="G24" s="2" t="n">
        <v>0.4</v>
      </c>
      <c r="H24" s="2" t="n">
        <v>0.9</v>
      </c>
      <c r="I24" s="2" t="n">
        <f aca="false">0.5*D24*E24*(B24^3)*G24*H24*F24/1000</f>
        <v>8.76564675</v>
      </c>
      <c r="J24" s="14"/>
    </row>
    <row r="25" customFormat="false" ht="15" hidden="false" customHeight="false" outlineLevel="0" collapsed="false">
      <c r="A25" s="9" t="n">
        <v>0.916666666666667</v>
      </c>
      <c r="B25" s="10" t="n">
        <v>4.2</v>
      </c>
      <c r="C25" s="2" t="n">
        <v>5</v>
      </c>
      <c r="D25" s="2" t="n">
        <v>1.225</v>
      </c>
      <c r="E25" s="2" t="n">
        <v>100</v>
      </c>
      <c r="F25" s="2" t="n">
        <v>5</v>
      </c>
      <c r="G25" s="2" t="n">
        <v>0.4</v>
      </c>
      <c r="H25" s="2" t="n">
        <v>0.9</v>
      </c>
      <c r="I25" s="2" t="n">
        <f aca="false">0.5*D25*E25*(B25^3)*G25*H25*F25/1000</f>
        <v>8.168202</v>
      </c>
      <c r="J25" s="14"/>
    </row>
    <row r="26" customFormat="false" ht="15" hidden="false" customHeight="false" outlineLevel="0" collapsed="false">
      <c r="A26" s="9" t="n">
        <v>0.958333333333333</v>
      </c>
      <c r="B26" s="10" t="n">
        <v>4.2</v>
      </c>
      <c r="C26" s="2" t="n">
        <v>4</v>
      </c>
      <c r="D26" s="2" t="n">
        <v>1.225</v>
      </c>
      <c r="E26" s="2" t="n">
        <v>100</v>
      </c>
      <c r="F26" s="2" t="n">
        <v>5</v>
      </c>
      <c r="G26" s="2" t="n">
        <v>0.4</v>
      </c>
      <c r="H26" s="2" t="n">
        <v>0.9</v>
      </c>
      <c r="I26" s="2" t="n">
        <f aca="false">0.5*D26*E26*(B26^3)*G26*H26*F26/1000</f>
        <v>8.168202</v>
      </c>
      <c r="J26" s="14"/>
    </row>
    <row r="27" customFormat="false" ht="15" hidden="false" customHeight="false" outlineLevel="0" collapsed="false">
      <c r="I27" s="11" t="n">
        <f aca="false">SUM(I3:I26)</f>
        <v>428.54384475</v>
      </c>
      <c r="J27" s="11"/>
    </row>
    <row r="29" customFormat="false" ht="15" hidden="false" customHeight="false" outlineLevel="0" collapsed="false">
      <c r="B29" s="11" t="n">
        <f aca="false">SUM(B3:B26)*31/1000</f>
        <v>3.9711</v>
      </c>
      <c r="I29" s="4" t="s">
        <v>9</v>
      </c>
      <c r="J29" s="11" t="n">
        <f aca="false">I27*31*0.9</f>
        <v>11956.373268525</v>
      </c>
    </row>
    <row r="30" customFormat="false" ht="15" hidden="false" customHeight="false" outlineLevel="0" collapsed="false">
      <c r="B30" s="12" t="n">
        <f aca="false">B29*31</f>
        <v>123.1041</v>
      </c>
    </row>
    <row r="31" customFormat="false" ht="15" hidden="false" customHeight="false" outlineLevel="0" collapsed="false">
      <c r="B31" s="1" t="n">
        <v>5791</v>
      </c>
      <c r="C31" s="1" t="s">
        <v>10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2:K3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C2" activeCellId="0" sqref="C2"/>
    </sheetView>
  </sheetViews>
  <sheetFormatPr defaultColWidth="8.54296875" defaultRowHeight="15" customHeight="false" zeroHeight="false" outlineLevelRow="0" outlineLevelCol="0"/>
  <cols>
    <col collapsed="false" customWidth="true" hidden="false" outlineLevel="0" max="1" min="1" style="1" width="5.57"/>
    <col collapsed="false" customWidth="true" hidden="false" outlineLevel="0" max="2" min="2" style="1" width="15.83"/>
    <col collapsed="false" customWidth="true" hidden="false" outlineLevel="0" max="3" min="3" style="1" width="10.71"/>
    <col collapsed="false" customWidth="true" hidden="false" outlineLevel="0" max="4" min="4" style="1" width="15.42"/>
    <col collapsed="false" customWidth="true" hidden="false" outlineLevel="0" max="5" min="5" style="1" width="12.42"/>
    <col collapsed="false" customWidth="true" hidden="false" outlineLevel="0" max="6" min="6" style="2" width="11.71"/>
    <col collapsed="false" customWidth="true" hidden="false" outlineLevel="0" max="7" min="7" style="2" width="15"/>
    <col collapsed="false" customWidth="true" hidden="false" outlineLevel="0" max="8" min="8" style="2" width="11.71"/>
    <col collapsed="false" customWidth="true" hidden="false" outlineLevel="0" max="9" min="9" style="2" width="15.51"/>
    <col collapsed="false" customWidth="true" hidden="false" outlineLevel="0" max="10" min="10" style="2" width="16"/>
    <col collapsed="false" customWidth="true" hidden="false" outlineLevel="0" max="11" min="11" style="2" width="14.42"/>
    <col collapsed="false" customWidth="true" hidden="false" outlineLevel="0" max="12" min="12" style="2" width="8.86"/>
  </cols>
  <sheetData>
    <row r="2" customFormat="false" ht="24.05" hidden="false" customHeight="false" outlineLevel="0" collapsed="false">
      <c r="A2" s="4" t="s">
        <v>0</v>
      </c>
      <c r="B2" s="4" t="s">
        <v>1</v>
      </c>
      <c r="C2" s="5" t="s">
        <v>2</v>
      </c>
      <c r="D2" s="6" t="s">
        <v>3</v>
      </c>
      <c r="E2" s="6" t="s">
        <v>4</v>
      </c>
      <c r="F2" s="4" t="s">
        <v>5</v>
      </c>
      <c r="G2" s="7" t="s">
        <v>6</v>
      </c>
      <c r="H2" s="6" t="s">
        <v>7</v>
      </c>
      <c r="I2" s="8" t="s">
        <v>8</v>
      </c>
      <c r="J2" s="4"/>
      <c r="K2" s="4"/>
    </row>
    <row r="3" customFormat="false" ht="15" hidden="false" customHeight="false" outlineLevel="0" collapsed="false">
      <c r="A3" s="9" t="n">
        <v>0</v>
      </c>
      <c r="B3" s="10" t="n">
        <v>3.5</v>
      </c>
      <c r="C3" s="2" t="n">
        <v>4</v>
      </c>
      <c r="D3" s="2" t="n">
        <v>1.225</v>
      </c>
      <c r="E3" s="2" t="n">
        <v>100</v>
      </c>
      <c r="F3" s="2" t="n">
        <v>5</v>
      </c>
      <c r="G3" s="2" t="n">
        <v>0.4</v>
      </c>
      <c r="H3" s="2" t="n">
        <v>0.9</v>
      </c>
      <c r="I3" s="2" t="n">
        <f aca="false">0.5*D3*E3*(B3^3)*G3*H3*F3/1000</f>
        <v>4.72696875</v>
      </c>
      <c r="J3" s="14"/>
      <c r="K3" s="14"/>
    </row>
    <row r="4" customFormat="false" ht="15" hidden="false" customHeight="false" outlineLevel="0" collapsed="false">
      <c r="A4" s="9" t="n">
        <v>0.0416666666666667</v>
      </c>
      <c r="B4" s="10" t="n">
        <v>3.7</v>
      </c>
      <c r="C4" s="2" t="n">
        <v>4</v>
      </c>
      <c r="D4" s="2" t="n">
        <v>1.225</v>
      </c>
      <c r="E4" s="2" t="n">
        <v>100</v>
      </c>
      <c r="F4" s="2" t="n">
        <v>5</v>
      </c>
      <c r="G4" s="2" t="n">
        <v>0.4</v>
      </c>
      <c r="H4" s="2" t="n">
        <v>0.9</v>
      </c>
      <c r="I4" s="2" t="n">
        <f aca="false">0.5*D4*E4*(B4^3)*G4*H4*F4/1000</f>
        <v>5.58449325</v>
      </c>
      <c r="J4" s="14"/>
      <c r="K4" s="14"/>
    </row>
    <row r="5" customFormat="false" ht="15" hidden="false" customHeight="false" outlineLevel="0" collapsed="false">
      <c r="A5" s="9" t="n">
        <v>0.0833333333333333</v>
      </c>
      <c r="B5" s="10" t="n">
        <v>3.9</v>
      </c>
      <c r="C5" s="2" t="n">
        <v>3</v>
      </c>
      <c r="D5" s="2" t="n">
        <v>1.225</v>
      </c>
      <c r="E5" s="2" t="n">
        <v>100</v>
      </c>
      <c r="F5" s="2" t="n">
        <v>5</v>
      </c>
      <c r="G5" s="2" t="n">
        <v>0.4</v>
      </c>
      <c r="H5" s="2" t="n">
        <v>0.9</v>
      </c>
      <c r="I5" s="2" t="n">
        <f aca="false">0.5*D5*E5*(B5^3)*G5*H5*F5/1000</f>
        <v>6.53991975</v>
      </c>
      <c r="J5" s="14"/>
      <c r="K5" s="14"/>
    </row>
    <row r="6" customFormat="false" ht="15" hidden="false" customHeight="false" outlineLevel="0" collapsed="false">
      <c r="A6" s="9" t="n">
        <v>0.125</v>
      </c>
      <c r="B6" s="10" t="n">
        <v>4.1</v>
      </c>
      <c r="C6" s="2" t="n">
        <v>3</v>
      </c>
      <c r="D6" s="2" t="n">
        <v>1.225</v>
      </c>
      <c r="E6" s="2" t="n">
        <v>100</v>
      </c>
      <c r="F6" s="2" t="n">
        <v>5</v>
      </c>
      <c r="G6" s="2" t="n">
        <v>0.4</v>
      </c>
      <c r="H6" s="2" t="n">
        <v>0.9</v>
      </c>
      <c r="I6" s="2" t="n">
        <f aca="false">0.5*D6*E6*(B6^3)*G6*H6*F6/1000</f>
        <v>7.59854025</v>
      </c>
      <c r="J6" s="14"/>
      <c r="K6" s="14"/>
    </row>
    <row r="7" customFormat="false" ht="15" hidden="false" customHeight="false" outlineLevel="0" collapsed="false">
      <c r="A7" s="9" t="n">
        <v>0.166666666666667</v>
      </c>
      <c r="B7" s="10" t="n">
        <v>4.3</v>
      </c>
      <c r="C7" s="2" t="n">
        <v>3</v>
      </c>
      <c r="D7" s="2" t="n">
        <v>1.225</v>
      </c>
      <c r="E7" s="2" t="n">
        <v>100</v>
      </c>
      <c r="F7" s="2" t="n">
        <v>5</v>
      </c>
      <c r="G7" s="2" t="n">
        <v>0.4</v>
      </c>
      <c r="H7" s="2" t="n">
        <v>0.9</v>
      </c>
      <c r="I7" s="2" t="n">
        <f aca="false">0.5*D7*E7*(B7^3)*G7*H7*F7/1000</f>
        <v>8.76564675</v>
      </c>
      <c r="J7" s="14"/>
      <c r="K7" s="14"/>
    </row>
    <row r="8" customFormat="false" ht="15" hidden="false" customHeight="false" outlineLevel="0" collapsed="false">
      <c r="A8" s="9" t="n">
        <v>0.208333333333333</v>
      </c>
      <c r="B8" s="10" t="n">
        <v>4.5</v>
      </c>
      <c r="C8" s="2" t="n">
        <v>4</v>
      </c>
      <c r="D8" s="2" t="n">
        <v>1.225</v>
      </c>
      <c r="E8" s="2" t="n">
        <v>100</v>
      </c>
      <c r="F8" s="2" t="n">
        <v>5</v>
      </c>
      <c r="G8" s="2" t="n">
        <v>0.4</v>
      </c>
      <c r="H8" s="2" t="n">
        <v>0.9</v>
      </c>
      <c r="I8" s="2" t="n">
        <f aca="false">0.5*D8*E8*(B8^3)*G8*H8*F8/1000</f>
        <v>10.04653125</v>
      </c>
      <c r="J8" s="14"/>
      <c r="K8" s="14"/>
    </row>
    <row r="9" customFormat="false" ht="15" hidden="false" customHeight="false" outlineLevel="0" collapsed="false">
      <c r="A9" s="9" t="n">
        <v>0.25</v>
      </c>
      <c r="B9" s="10" t="n">
        <v>4.7</v>
      </c>
      <c r="C9" s="2" t="n">
        <v>4</v>
      </c>
      <c r="D9" s="2" t="n">
        <v>1.225</v>
      </c>
      <c r="E9" s="2" t="n">
        <v>100</v>
      </c>
      <c r="F9" s="2" t="n">
        <v>5</v>
      </c>
      <c r="G9" s="2" t="n">
        <v>0.4</v>
      </c>
      <c r="H9" s="2" t="n">
        <v>0.9</v>
      </c>
      <c r="I9" s="2" t="n">
        <f aca="false">0.5*D9*E9*(B9^3)*G9*H9*F9/1000</f>
        <v>11.44648575</v>
      </c>
      <c r="J9" s="14"/>
      <c r="K9" s="14"/>
    </row>
    <row r="10" customFormat="false" ht="15" hidden="false" customHeight="false" outlineLevel="0" collapsed="false">
      <c r="A10" s="9" t="n">
        <v>0.291666666666667</v>
      </c>
      <c r="B10" s="10" t="n">
        <v>4.9</v>
      </c>
      <c r="C10" s="2" t="n">
        <v>5</v>
      </c>
      <c r="D10" s="2" t="n">
        <v>1.225</v>
      </c>
      <c r="E10" s="2" t="n">
        <v>100</v>
      </c>
      <c r="F10" s="2" t="n">
        <v>5</v>
      </c>
      <c r="G10" s="2" t="n">
        <v>0.4</v>
      </c>
      <c r="H10" s="2" t="n">
        <v>0.9</v>
      </c>
      <c r="I10" s="2" t="n">
        <f aca="false">0.5*D10*E10*(B10^3)*G10*H10*F10/1000</f>
        <v>12.97080225</v>
      </c>
      <c r="J10" s="14"/>
      <c r="K10" s="14"/>
    </row>
    <row r="11" customFormat="false" ht="15" hidden="false" customHeight="false" outlineLevel="0" collapsed="false">
      <c r="A11" s="9" t="n">
        <v>0.333333333333333</v>
      </c>
      <c r="B11" s="10" t="n">
        <v>5.1</v>
      </c>
      <c r="C11" s="2" t="n">
        <v>7</v>
      </c>
      <c r="D11" s="2" t="n">
        <v>1.225</v>
      </c>
      <c r="E11" s="2" t="n">
        <v>100</v>
      </c>
      <c r="F11" s="2" t="n">
        <v>5</v>
      </c>
      <c r="G11" s="2" t="n">
        <v>0.4</v>
      </c>
      <c r="H11" s="2" t="n">
        <v>0.9</v>
      </c>
      <c r="I11" s="2" t="n">
        <f aca="false">0.5*D11*E11*(B11^3)*G11*H11*F11/1000</f>
        <v>14.62477275</v>
      </c>
      <c r="J11" s="14"/>
      <c r="K11" s="14"/>
    </row>
    <row r="12" customFormat="false" ht="15" hidden="false" customHeight="false" outlineLevel="0" collapsed="false">
      <c r="A12" s="9" t="n">
        <v>0.375</v>
      </c>
      <c r="B12" s="10" t="n">
        <v>5.3</v>
      </c>
      <c r="C12" s="2" t="n">
        <v>10</v>
      </c>
      <c r="D12" s="2" t="n">
        <v>1.225</v>
      </c>
      <c r="E12" s="2" t="n">
        <v>100</v>
      </c>
      <c r="F12" s="2" t="n">
        <v>5</v>
      </c>
      <c r="G12" s="2" t="n">
        <v>0.4</v>
      </c>
      <c r="H12" s="2" t="n">
        <v>0.9</v>
      </c>
      <c r="I12" s="2" t="n">
        <f aca="false">0.5*D12*E12*(B12^3)*G12*H12*F12/1000</f>
        <v>16.41368925</v>
      </c>
      <c r="J12" s="14"/>
      <c r="K12" s="14"/>
    </row>
    <row r="13" customFormat="false" ht="15" hidden="false" customHeight="false" outlineLevel="0" collapsed="false">
      <c r="A13" s="9" t="n">
        <v>0.416666666666667</v>
      </c>
      <c r="B13" s="10" t="n">
        <v>5.5</v>
      </c>
      <c r="C13" s="2" t="n">
        <v>15</v>
      </c>
      <c r="D13" s="2" t="n">
        <v>1.225</v>
      </c>
      <c r="E13" s="2" t="n">
        <v>100</v>
      </c>
      <c r="F13" s="2" t="n">
        <v>5</v>
      </c>
      <c r="G13" s="2" t="n">
        <v>0.4</v>
      </c>
      <c r="H13" s="2" t="n">
        <v>0.9</v>
      </c>
      <c r="I13" s="2" t="n">
        <f aca="false">0.5*D13*E13*(B13^3)*G13*H13*F13/1000</f>
        <v>18.34284375</v>
      </c>
      <c r="J13" s="14"/>
      <c r="K13" s="14"/>
    </row>
    <row r="14" customFormat="false" ht="15" hidden="false" customHeight="false" outlineLevel="0" collapsed="false">
      <c r="A14" s="9" t="n">
        <v>0.458333333333333</v>
      </c>
      <c r="B14" s="10" t="n">
        <v>5.6</v>
      </c>
      <c r="C14" s="2" t="n">
        <v>20</v>
      </c>
      <c r="D14" s="2" t="n">
        <v>1.225</v>
      </c>
      <c r="E14" s="2" t="n">
        <v>100</v>
      </c>
      <c r="F14" s="2" t="n">
        <v>5</v>
      </c>
      <c r="G14" s="2" t="n">
        <v>0.4</v>
      </c>
      <c r="H14" s="2" t="n">
        <v>0.9</v>
      </c>
      <c r="I14" s="2" t="n">
        <f aca="false">0.5*D14*E14*(B14^3)*G14*H14*F14/1000</f>
        <v>19.361664</v>
      </c>
      <c r="J14" s="14"/>
      <c r="K14" s="14"/>
    </row>
    <row r="15" customFormat="false" ht="15" hidden="false" customHeight="false" outlineLevel="0" collapsed="false">
      <c r="A15" s="9" t="n">
        <v>0.5</v>
      </c>
      <c r="B15" s="10" t="n">
        <v>5.4</v>
      </c>
      <c r="C15" s="2" t="n">
        <v>23</v>
      </c>
      <c r="D15" s="2" t="n">
        <v>1.225</v>
      </c>
      <c r="E15" s="2" t="n">
        <v>100</v>
      </c>
      <c r="F15" s="2" t="n">
        <v>5</v>
      </c>
      <c r="G15" s="2" t="n">
        <v>0.4</v>
      </c>
      <c r="H15" s="2" t="n">
        <v>0.9</v>
      </c>
      <c r="I15" s="2" t="n">
        <f aca="false">0.5*D15*E15*(B15^3)*G15*H15*F15/1000</f>
        <v>17.360406</v>
      </c>
      <c r="J15" s="14"/>
      <c r="K15" s="14"/>
    </row>
    <row r="16" customFormat="false" ht="15" hidden="false" customHeight="false" outlineLevel="0" collapsed="false">
      <c r="A16" s="9" t="n">
        <v>0.541666666666667</v>
      </c>
      <c r="B16" s="10" t="n">
        <v>5.2</v>
      </c>
      <c r="C16" s="2" t="n">
        <v>24</v>
      </c>
      <c r="D16" s="2" t="n">
        <v>1.225</v>
      </c>
      <c r="E16" s="2" t="n">
        <v>100</v>
      </c>
      <c r="F16" s="2" t="n">
        <v>5</v>
      </c>
      <c r="G16" s="2" t="n">
        <v>0.4</v>
      </c>
      <c r="H16" s="2" t="n">
        <v>0.9</v>
      </c>
      <c r="I16" s="2" t="n">
        <f aca="false">0.5*D16*E16*(B16^3)*G16*H16*F16/1000</f>
        <v>15.502032</v>
      </c>
      <c r="J16" s="14"/>
      <c r="K16" s="14"/>
    </row>
    <row r="17" customFormat="false" ht="15" hidden="false" customHeight="false" outlineLevel="0" collapsed="false">
      <c r="A17" s="9" t="n">
        <v>0.583333333333333</v>
      </c>
      <c r="B17" s="10" t="n">
        <v>5</v>
      </c>
      <c r="C17" s="2" t="n">
        <v>23</v>
      </c>
      <c r="D17" s="2" t="n">
        <v>1.225</v>
      </c>
      <c r="E17" s="2" t="n">
        <v>100</v>
      </c>
      <c r="F17" s="2" t="n">
        <v>5</v>
      </c>
      <c r="G17" s="2" t="n">
        <v>0.4</v>
      </c>
      <c r="H17" s="2" t="n">
        <v>0.9</v>
      </c>
      <c r="I17" s="2" t="n">
        <f aca="false">0.5*D17*E17*(B17^3)*G17*H17*F17/1000</f>
        <v>13.78125</v>
      </c>
      <c r="J17" s="14"/>
      <c r="K17" s="14"/>
    </row>
    <row r="18" customFormat="false" ht="15" hidden="false" customHeight="false" outlineLevel="0" collapsed="false">
      <c r="A18" s="9" t="n">
        <v>0.625</v>
      </c>
      <c r="B18" s="10" t="n">
        <v>4.8</v>
      </c>
      <c r="C18" s="2" t="n">
        <v>20</v>
      </c>
      <c r="D18" s="2" t="n">
        <v>1.225</v>
      </c>
      <c r="E18" s="2" t="n">
        <v>100</v>
      </c>
      <c r="F18" s="2" t="n">
        <v>5</v>
      </c>
      <c r="G18" s="2" t="n">
        <v>0.4</v>
      </c>
      <c r="H18" s="2" t="n">
        <v>0.9</v>
      </c>
      <c r="I18" s="2" t="n">
        <f aca="false">0.5*D18*E18*(B18^3)*G18*H18*F18/1000</f>
        <v>12.192768</v>
      </c>
      <c r="J18" s="14"/>
      <c r="K18" s="14"/>
    </row>
    <row r="19" customFormat="false" ht="15" hidden="false" customHeight="false" outlineLevel="0" collapsed="false">
      <c r="A19" s="9" t="n">
        <v>0.666666666666667</v>
      </c>
      <c r="B19" s="10" t="n">
        <v>4.6</v>
      </c>
      <c r="C19" s="2" t="n">
        <v>16</v>
      </c>
      <c r="D19" s="2" t="n">
        <v>1.225</v>
      </c>
      <c r="E19" s="2" t="n">
        <v>100</v>
      </c>
      <c r="F19" s="2" t="n">
        <v>5</v>
      </c>
      <c r="G19" s="2" t="n">
        <v>0.4</v>
      </c>
      <c r="H19" s="2" t="n">
        <v>0.9</v>
      </c>
      <c r="I19" s="2" t="n">
        <f aca="false">0.5*D19*E19*(B19^3)*G19*H19*F19/1000</f>
        <v>10.731294</v>
      </c>
      <c r="J19" s="14"/>
      <c r="K19" s="14"/>
    </row>
    <row r="20" customFormat="false" ht="15" hidden="false" customHeight="false" outlineLevel="0" collapsed="false">
      <c r="A20" s="9" t="n">
        <v>0.708333333333333</v>
      </c>
      <c r="B20" s="10" t="n">
        <v>4.4</v>
      </c>
      <c r="C20" s="2" t="n">
        <v>12</v>
      </c>
      <c r="D20" s="2" t="n">
        <v>1.225</v>
      </c>
      <c r="E20" s="2" t="n">
        <v>100</v>
      </c>
      <c r="F20" s="2" t="n">
        <v>5</v>
      </c>
      <c r="G20" s="2" t="n">
        <v>0.4</v>
      </c>
      <c r="H20" s="2" t="n">
        <v>0.9</v>
      </c>
      <c r="I20" s="2" t="n">
        <f aca="false">0.5*D20*E20*(B20^3)*G20*H20*F20/1000</f>
        <v>9.39153600000001</v>
      </c>
      <c r="J20" s="14"/>
      <c r="K20" s="14"/>
    </row>
    <row r="21" customFormat="false" ht="15" hidden="false" customHeight="false" outlineLevel="0" collapsed="false">
      <c r="A21" s="9" t="n">
        <v>0.75</v>
      </c>
      <c r="B21" s="10" t="n">
        <v>4.2</v>
      </c>
      <c r="C21" s="2" t="n">
        <v>10</v>
      </c>
      <c r="D21" s="2" t="n">
        <v>1.225</v>
      </c>
      <c r="E21" s="2" t="n">
        <v>100</v>
      </c>
      <c r="F21" s="2" t="n">
        <v>5</v>
      </c>
      <c r="G21" s="2" t="n">
        <v>0.4</v>
      </c>
      <c r="H21" s="2" t="n">
        <v>0.9</v>
      </c>
      <c r="I21" s="2" t="n">
        <f aca="false">0.5*D21*E21*(B21^3)*G21*H21*F21/1000</f>
        <v>8.168202</v>
      </c>
      <c r="J21" s="14"/>
      <c r="K21" s="14"/>
    </row>
    <row r="22" customFormat="false" ht="15" hidden="false" customHeight="false" outlineLevel="0" collapsed="false">
      <c r="A22" s="9" t="n">
        <v>0.791666666666667</v>
      </c>
      <c r="B22" s="10" t="n">
        <v>4</v>
      </c>
      <c r="C22" s="2" t="n">
        <v>7</v>
      </c>
      <c r="D22" s="2" t="n">
        <v>1.225</v>
      </c>
      <c r="E22" s="2" t="n">
        <v>100</v>
      </c>
      <c r="F22" s="2" t="n">
        <v>5</v>
      </c>
      <c r="G22" s="2" t="n">
        <v>0.4</v>
      </c>
      <c r="H22" s="2" t="n">
        <v>0.9</v>
      </c>
      <c r="I22" s="2" t="n">
        <f aca="false">0.5*D22*E22*(B22^3)*G22*H22*F22/1000</f>
        <v>7.056</v>
      </c>
      <c r="J22" s="14"/>
      <c r="K22" s="14"/>
    </row>
    <row r="23" customFormat="false" ht="15" hidden="false" customHeight="false" outlineLevel="0" collapsed="false">
      <c r="A23" s="9" t="n">
        <v>0.833333333333333</v>
      </c>
      <c r="B23" s="10" t="n">
        <v>3.8</v>
      </c>
      <c r="C23" s="2" t="n">
        <v>6</v>
      </c>
      <c r="D23" s="2" t="n">
        <v>1.225</v>
      </c>
      <c r="E23" s="2" t="n">
        <v>100</v>
      </c>
      <c r="F23" s="2" t="n">
        <v>5</v>
      </c>
      <c r="G23" s="2" t="n">
        <v>0.4</v>
      </c>
      <c r="H23" s="2" t="n">
        <v>0.9</v>
      </c>
      <c r="I23" s="2" t="n">
        <f aca="false">0.5*D23*E23*(B23^3)*G23*H23*F23/1000</f>
        <v>6.049638</v>
      </c>
      <c r="J23" s="14"/>
      <c r="K23" s="14"/>
    </row>
    <row r="24" customFormat="false" ht="15" hidden="false" customHeight="false" outlineLevel="0" collapsed="false">
      <c r="A24" s="9" t="n">
        <v>0.875</v>
      </c>
      <c r="B24" s="10" t="n">
        <v>3.6</v>
      </c>
      <c r="C24" s="2" t="n">
        <v>5</v>
      </c>
      <c r="D24" s="2" t="n">
        <v>1.225</v>
      </c>
      <c r="E24" s="2" t="n">
        <v>100</v>
      </c>
      <c r="F24" s="2" t="n">
        <v>5</v>
      </c>
      <c r="G24" s="2" t="n">
        <v>0.4</v>
      </c>
      <c r="H24" s="2" t="n">
        <v>0.9</v>
      </c>
      <c r="I24" s="2" t="n">
        <f aca="false">0.5*D24*E24*(B24^3)*G24*H24*F24/1000</f>
        <v>5.143824</v>
      </c>
      <c r="J24" s="14"/>
      <c r="K24" s="14"/>
    </row>
    <row r="25" customFormat="false" ht="15" hidden="false" customHeight="false" outlineLevel="0" collapsed="false">
      <c r="A25" s="9" t="n">
        <v>0.916666666666667</v>
      </c>
      <c r="B25" s="10" t="n">
        <v>3.5</v>
      </c>
      <c r="C25" s="2" t="n">
        <v>5</v>
      </c>
      <c r="D25" s="2" t="n">
        <v>1.225</v>
      </c>
      <c r="E25" s="2" t="n">
        <v>100</v>
      </c>
      <c r="F25" s="2" t="n">
        <v>5</v>
      </c>
      <c r="G25" s="2" t="n">
        <v>0.4</v>
      </c>
      <c r="H25" s="2" t="n">
        <v>0.9</v>
      </c>
      <c r="I25" s="2" t="n">
        <f aca="false">0.5*D25*E25*(B25^3)*G25*H25*F25/1000</f>
        <v>4.72696875</v>
      </c>
      <c r="J25" s="14"/>
      <c r="K25" s="14"/>
    </row>
    <row r="26" customFormat="false" ht="15" hidden="false" customHeight="false" outlineLevel="0" collapsed="false">
      <c r="A26" s="9" t="n">
        <v>0.958333333333333</v>
      </c>
      <c r="B26" s="10" t="n">
        <v>3.5</v>
      </c>
      <c r="C26" s="2" t="n">
        <v>4</v>
      </c>
      <c r="D26" s="2" t="n">
        <v>1.225</v>
      </c>
      <c r="E26" s="2" t="n">
        <v>100</v>
      </c>
      <c r="F26" s="2" t="n">
        <v>5</v>
      </c>
      <c r="G26" s="2" t="n">
        <v>0.4</v>
      </c>
      <c r="H26" s="2" t="n">
        <v>0.9</v>
      </c>
      <c r="I26" s="2" t="n">
        <f aca="false">0.5*D26*E26*(B26^3)*G26*H26*F26/1000</f>
        <v>4.72696875</v>
      </c>
      <c r="J26" s="14"/>
      <c r="K26" s="14"/>
    </row>
    <row r="27" customFormat="false" ht="15" hidden="false" customHeight="false" outlineLevel="0" collapsed="false">
      <c r="I27" s="11" t="n">
        <f aca="false">SUM(I3:I26)</f>
        <v>251.25324525</v>
      </c>
      <c r="J27" s="11"/>
      <c r="K27" s="14"/>
    </row>
    <row r="28" customFormat="false" ht="15" hidden="false" customHeight="false" outlineLevel="0" collapsed="false">
      <c r="J28" s="14"/>
      <c r="K28" s="14"/>
    </row>
    <row r="29" customFormat="false" ht="15" hidden="false" customHeight="false" outlineLevel="0" collapsed="false">
      <c r="B29" s="11" t="n">
        <f aca="false">SUM(B3:B26)*30/1000</f>
        <v>3.213</v>
      </c>
      <c r="I29" s="4" t="s">
        <v>9</v>
      </c>
      <c r="J29" s="11" t="n">
        <f aca="false">I27*30*0.9</f>
        <v>6783.83762175</v>
      </c>
      <c r="K29" s="14"/>
    </row>
    <row r="30" customFormat="false" ht="15" hidden="false" customHeight="false" outlineLevel="0" collapsed="false">
      <c r="B30" s="12" t="n">
        <f aca="false">B29*30</f>
        <v>96.39</v>
      </c>
      <c r="J30" s="14"/>
      <c r="K30" s="14"/>
    </row>
    <row r="31" customFormat="false" ht="15" hidden="false" customHeight="false" outlineLevel="0" collapsed="false">
      <c r="B31" s="1" t="n">
        <v>6608</v>
      </c>
      <c r="C31" s="1" t="s">
        <v>10</v>
      </c>
      <c r="J31" s="14"/>
      <c r="K31" s="14"/>
    </row>
    <row r="32" customFormat="false" ht="13.8" hidden="false" customHeight="false" outlineLevel="0" collapsed="false">
      <c r="J32" s="14"/>
      <c r="K32" s="14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2:K3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F3" activeCellId="0" sqref="F3"/>
    </sheetView>
  </sheetViews>
  <sheetFormatPr defaultColWidth="8.54296875" defaultRowHeight="15" customHeight="false" zeroHeight="false" outlineLevelRow="0" outlineLevelCol="0"/>
  <cols>
    <col collapsed="false" customWidth="true" hidden="false" outlineLevel="0" max="1" min="1" style="1" width="5.57"/>
    <col collapsed="false" customWidth="true" hidden="false" outlineLevel="0" max="2" min="2" style="1" width="17.61"/>
    <col collapsed="false" customWidth="true" hidden="false" outlineLevel="0" max="3" min="3" style="1" width="10.71"/>
    <col collapsed="false" customWidth="true" hidden="false" outlineLevel="0" max="4" min="4" style="1" width="15.42"/>
    <col collapsed="false" customWidth="true" hidden="false" outlineLevel="0" max="5" min="5" style="1" width="12.42"/>
    <col collapsed="false" customWidth="true" hidden="false" outlineLevel="0" max="6" min="6" style="2" width="11.71"/>
    <col collapsed="false" customWidth="true" hidden="false" outlineLevel="0" max="7" min="7" style="2" width="15"/>
    <col collapsed="false" customWidth="true" hidden="false" outlineLevel="0" max="8" min="8" style="2" width="11.71"/>
    <col collapsed="false" customWidth="true" hidden="false" outlineLevel="0" max="9" min="9" style="2" width="17.75"/>
    <col collapsed="false" customWidth="true" hidden="false" outlineLevel="0" max="10" min="10" style="2" width="16"/>
    <col collapsed="false" customWidth="true" hidden="false" outlineLevel="0" max="11" min="11" style="2" width="14.42"/>
  </cols>
  <sheetData>
    <row r="2" customFormat="false" ht="24.05" hidden="false" customHeight="false" outlineLevel="0" collapsed="false">
      <c r="A2" s="4" t="s">
        <v>0</v>
      </c>
      <c r="B2" s="4" t="s">
        <v>1</v>
      </c>
      <c r="C2" s="5" t="s">
        <v>2</v>
      </c>
      <c r="D2" s="6" t="s">
        <v>3</v>
      </c>
      <c r="E2" s="6" t="s">
        <v>4</v>
      </c>
      <c r="F2" s="4" t="s">
        <v>5</v>
      </c>
      <c r="G2" s="7" t="s">
        <v>6</v>
      </c>
      <c r="H2" s="6" t="s">
        <v>7</v>
      </c>
      <c r="I2" s="8" t="s">
        <v>8</v>
      </c>
      <c r="J2" s="4"/>
      <c r="K2" s="4"/>
    </row>
    <row r="3" customFormat="false" ht="15" hidden="false" customHeight="false" outlineLevel="0" collapsed="false">
      <c r="A3" s="9" t="n">
        <v>0</v>
      </c>
      <c r="B3" s="10" t="n">
        <v>3.2</v>
      </c>
      <c r="C3" s="2" t="n">
        <v>4</v>
      </c>
      <c r="D3" s="2" t="n">
        <v>1.225</v>
      </c>
      <c r="E3" s="2" t="n">
        <v>100</v>
      </c>
      <c r="F3" s="2" t="n">
        <v>5</v>
      </c>
      <c r="G3" s="2" t="n">
        <v>0.4</v>
      </c>
      <c r="H3" s="2" t="n">
        <v>0.9</v>
      </c>
      <c r="I3" s="2" t="n">
        <f aca="false">0.5*D3*E3*(B3^3)*G3*H3*F3/1000</f>
        <v>3.612672</v>
      </c>
      <c r="J3" s="14"/>
      <c r="K3" s="14"/>
    </row>
    <row r="4" customFormat="false" ht="15" hidden="false" customHeight="false" outlineLevel="0" collapsed="false">
      <c r="A4" s="9" t="n">
        <v>0.0416666666666667</v>
      </c>
      <c r="B4" s="10" t="n">
        <v>3.4</v>
      </c>
      <c r="C4" s="2" t="n">
        <v>4</v>
      </c>
      <c r="D4" s="2" t="n">
        <v>1.225</v>
      </c>
      <c r="E4" s="2" t="n">
        <v>100</v>
      </c>
      <c r="F4" s="2" t="n">
        <v>5</v>
      </c>
      <c r="G4" s="2" t="n">
        <v>0.4</v>
      </c>
      <c r="H4" s="2" t="n">
        <v>0.9</v>
      </c>
      <c r="I4" s="2" t="n">
        <f aca="false">0.5*D4*E4*(B4^3)*G4*H4*F4/1000</f>
        <v>4.333266</v>
      </c>
      <c r="J4" s="14"/>
      <c r="K4" s="14"/>
    </row>
    <row r="5" customFormat="false" ht="15" hidden="false" customHeight="false" outlineLevel="0" collapsed="false">
      <c r="A5" s="9" t="n">
        <v>0.0833333333333333</v>
      </c>
      <c r="B5" s="10" t="n">
        <v>3.6</v>
      </c>
      <c r="C5" s="2" t="n">
        <v>3</v>
      </c>
      <c r="D5" s="2" t="n">
        <v>1.225</v>
      </c>
      <c r="E5" s="2" t="n">
        <v>100</v>
      </c>
      <c r="F5" s="2" t="n">
        <v>5</v>
      </c>
      <c r="G5" s="2" t="n">
        <v>0.4</v>
      </c>
      <c r="H5" s="2" t="n">
        <v>0.9</v>
      </c>
      <c r="I5" s="2" t="n">
        <f aca="false">0.5*D5*E5*(B5^3)*G5*H5*F5/1000</f>
        <v>5.143824</v>
      </c>
      <c r="J5" s="14"/>
      <c r="K5" s="14"/>
    </row>
    <row r="6" customFormat="false" ht="15" hidden="false" customHeight="false" outlineLevel="0" collapsed="false">
      <c r="A6" s="9" t="n">
        <v>0.125</v>
      </c>
      <c r="B6" s="10" t="n">
        <v>3.8</v>
      </c>
      <c r="C6" s="2" t="n">
        <v>3</v>
      </c>
      <c r="D6" s="2" t="n">
        <v>1.225</v>
      </c>
      <c r="E6" s="2" t="n">
        <v>100</v>
      </c>
      <c r="F6" s="2" t="n">
        <v>5</v>
      </c>
      <c r="G6" s="2" t="n">
        <v>0.4</v>
      </c>
      <c r="H6" s="2" t="n">
        <v>0.9</v>
      </c>
      <c r="I6" s="2" t="n">
        <f aca="false">0.5*D6*E6*(B6^3)*G6*H6*F6/1000</f>
        <v>6.049638</v>
      </c>
      <c r="J6" s="14"/>
      <c r="K6" s="14"/>
    </row>
    <row r="7" customFormat="false" ht="15" hidden="false" customHeight="false" outlineLevel="0" collapsed="false">
      <c r="A7" s="9" t="n">
        <v>0.166666666666667</v>
      </c>
      <c r="B7" s="10" t="n">
        <v>4</v>
      </c>
      <c r="C7" s="2" t="n">
        <v>3</v>
      </c>
      <c r="D7" s="2" t="n">
        <v>1.225</v>
      </c>
      <c r="E7" s="2" t="n">
        <v>100</v>
      </c>
      <c r="F7" s="2" t="n">
        <v>5</v>
      </c>
      <c r="G7" s="2" t="n">
        <v>0.4</v>
      </c>
      <c r="H7" s="2" t="n">
        <v>0.9</v>
      </c>
      <c r="I7" s="2" t="n">
        <f aca="false">0.5*D7*E7*(B7^3)*G7*H7*F7/1000</f>
        <v>7.056</v>
      </c>
      <c r="J7" s="14"/>
      <c r="K7" s="14"/>
    </row>
    <row r="8" customFormat="false" ht="15" hidden="false" customHeight="false" outlineLevel="0" collapsed="false">
      <c r="A8" s="9" t="n">
        <v>0.208333333333333</v>
      </c>
      <c r="B8" s="10" t="n">
        <v>4.2</v>
      </c>
      <c r="C8" s="2" t="n">
        <v>4</v>
      </c>
      <c r="D8" s="2" t="n">
        <v>1.225</v>
      </c>
      <c r="E8" s="2" t="n">
        <v>100</v>
      </c>
      <c r="F8" s="2" t="n">
        <v>5</v>
      </c>
      <c r="G8" s="2" t="n">
        <v>0.4</v>
      </c>
      <c r="H8" s="2" t="n">
        <v>0.9</v>
      </c>
      <c r="I8" s="2" t="n">
        <f aca="false">0.5*D8*E8*(B8^3)*G8*H8*F8/1000</f>
        <v>8.168202</v>
      </c>
      <c r="J8" s="14"/>
      <c r="K8" s="14"/>
    </row>
    <row r="9" customFormat="false" ht="15" hidden="false" customHeight="false" outlineLevel="0" collapsed="false">
      <c r="A9" s="9" t="n">
        <v>0.25</v>
      </c>
      <c r="B9" s="10" t="n">
        <v>4.4</v>
      </c>
      <c r="C9" s="2" t="n">
        <v>4</v>
      </c>
      <c r="D9" s="2" t="n">
        <v>1.225</v>
      </c>
      <c r="E9" s="2" t="n">
        <v>100</v>
      </c>
      <c r="F9" s="2" t="n">
        <v>5</v>
      </c>
      <c r="G9" s="2" t="n">
        <v>0.4</v>
      </c>
      <c r="H9" s="2" t="n">
        <v>0.9</v>
      </c>
      <c r="I9" s="2" t="n">
        <f aca="false">0.5*D9*E9*(B9^3)*G9*H9*F9/1000</f>
        <v>9.39153600000001</v>
      </c>
      <c r="J9" s="14"/>
      <c r="K9" s="14"/>
    </row>
    <row r="10" customFormat="false" ht="15" hidden="false" customHeight="false" outlineLevel="0" collapsed="false">
      <c r="A10" s="9" t="n">
        <v>0.291666666666667</v>
      </c>
      <c r="B10" s="10" t="n">
        <v>4.6</v>
      </c>
      <c r="C10" s="2" t="n">
        <v>5</v>
      </c>
      <c r="D10" s="2" t="n">
        <v>1.225</v>
      </c>
      <c r="E10" s="2" t="n">
        <v>100</v>
      </c>
      <c r="F10" s="2" t="n">
        <v>5</v>
      </c>
      <c r="G10" s="2" t="n">
        <v>0.4</v>
      </c>
      <c r="H10" s="2" t="n">
        <v>0.9</v>
      </c>
      <c r="I10" s="2" t="n">
        <f aca="false">0.5*D10*E10*(B10^3)*G10*H10*F10/1000</f>
        <v>10.731294</v>
      </c>
      <c r="J10" s="14"/>
      <c r="K10" s="14"/>
    </row>
    <row r="11" customFormat="false" ht="15" hidden="false" customHeight="false" outlineLevel="0" collapsed="false">
      <c r="A11" s="9" t="n">
        <v>0.333333333333333</v>
      </c>
      <c r="B11" s="10" t="n">
        <v>4.8</v>
      </c>
      <c r="C11" s="2" t="n">
        <v>7</v>
      </c>
      <c r="D11" s="2" t="n">
        <v>1.225</v>
      </c>
      <c r="E11" s="2" t="n">
        <v>100</v>
      </c>
      <c r="F11" s="2" t="n">
        <v>5</v>
      </c>
      <c r="G11" s="2" t="n">
        <v>0.4</v>
      </c>
      <c r="H11" s="2" t="n">
        <v>0.9</v>
      </c>
      <c r="I11" s="2" t="n">
        <f aca="false">0.5*D11*E11*(B11^3)*G11*H11*F11/1000</f>
        <v>12.192768</v>
      </c>
      <c r="J11" s="14"/>
      <c r="K11" s="14"/>
    </row>
    <row r="12" customFormat="false" ht="15" hidden="false" customHeight="false" outlineLevel="0" collapsed="false">
      <c r="A12" s="9" t="n">
        <v>0.375</v>
      </c>
      <c r="B12" s="10" t="n">
        <v>5</v>
      </c>
      <c r="C12" s="2" t="n">
        <v>10</v>
      </c>
      <c r="D12" s="2" t="n">
        <v>1.225</v>
      </c>
      <c r="E12" s="2" t="n">
        <v>100</v>
      </c>
      <c r="F12" s="2" t="n">
        <v>5</v>
      </c>
      <c r="G12" s="2" t="n">
        <v>0.4</v>
      </c>
      <c r="H12" s="2" t="n">
        <v>0.9</v>
      </c>
      <c r="I12" s="2" t="n">
        <f aca="false">0.5*D12*E12*(B12^3)*G12*H12*F12/1000</f>
        <v>13.78125</v>
      </c>
      <c r="J12" s="14"/>
      <c r="K12" s="14"/>
    </row>
    <row r="13" customFormat="false" ht="15" hidden="false" customHeight="false" outlineLevel="0" collapsed="false">
      <c r="A13" s="9" t="n">
        <v>0.416666666666667</v>
      </c>
      <c r="B13" s="10" t="n">
        <v>5.2</v>
      </c>
      <c r="C13" s="2" t="n">
        <v>15</v>
      </c>
      <c r="D13" s="2" t="n">
        <v>1.225</v>
      </c>
      <c r="E13" s="2" t="n">
        <v>100</v>
      </c>
      <c r="F13" s="2" t="n">
        <v>5</v>
      </c>
      <c r="G13" s="2" t="n">
        <v>0.4</v>
      </c>
      <c r="H13" s="2" t="n">
        <v>0.9</v>
      </c>
      <c r="I13" s="2" t="n">
        <f aca="false">0.5*D13*E13*(B13^3)*G13*H13*F13/1000</f>
        <v>15.502032</v>
      </c>
      <c r="J13" s="14"/>
      <c r="K13" s="14"/>
    </row>
    <row r="14" customFormat="false" ht="15" hidden="false" customHeight="false" outlineLevel="0" collapsed="false">
      <c r="A14" s="9" t="n">
        <v>0.458333333333333</v>
      </c>
      <c r="B14" s="10" t="n">
        <v>5.3</v>
      </c>
      <c r="C14" s="2" t="n">
        <v>20</v>
      </c>
      <c r="D14" s="2" t="n">
        <v>1.225</v>
      </c>
      <c r="E14" s="2" t="n">
        <v>100</v>
      </c>
      <c r="F14" s="2" t="n">
        <v>5</v>
      </c>
      <c r="G14" s="2" t="n">
        <v>0.4</v>
      </c>
      <c r="H14" s="2" t="n">
        <v>0.9</v>
      </c>
      <c r="I14" s="2" t="n">
        <f aca="false">0.5*D14*E14*(B14^3)*G14*H14*F14/1000</f>
        <v>16.41368925</v>
      </c>
      <c r="J14" s="14"/>
      <c r="K14" s="14"/>
    </row>
    <row r="15" customFormat="false" ht="15" hidden="false" customHeight="false" outlineLevel="0" collapsed="false">
      <c r="A15" s="9" t="n">
        <v>0.5</v>
      </c>
      <c r="B15" s="10" t="n">
        <v>5.1</v>
      </c>
      <c r="C15" s="2" t="n">
        <v>23</v>
      </c>
      <c r="D15" s="2" t="n">
        <v>1.225</v>
      </c>
      <c r="E15" s="2" t="n">
        <v>100</v>
      </c>
      <c r="F15" s="2" t="n">
        <v>5</v>
      </c>
      <c r="G15" s="2" t="n">
        <v>0.4</v>
      </c>
      <c r="H15" s="2" t="n">
        <v>0.9</v>
      </c>
      <c r="I15" s="2" t="n">
        <f aca="false">0.5*D15*E15*(B15^3)*G15*H15*F15/1000</f>
        <v>14.62477275</v>
      </c>
      <c r="J15" s="14"/>
      <c r="K15" s="14"/>
    </row>
    <row r="16" customFormat="false" ht="15" hidden="false" customHeight="false" outlineLevel="0" collapsed="false">
      <c r="A16" s="9" t="n">
        <v>0.541666666666667</v>
      </c>
      <c r="B16" s="10" t="n">
        <v>4.9</v>
      </c>
      <c r="C16" s="2" t="n">
        <v>24</v>
      </c>
      <c r="D16" s="2" t="n">
        <v>1.225</v>
      </c>
      <c r="E16" s="2" t="n">
        <v>100</v>
      </c>
      <c r="F16" s="2" t="n">
        <v>5</v>
      </c>
      <c r="G16" s="2" t="n">
        <v>0.4</v>
      </c>
      <c r="H16" s="2" t="n">
        <v>0.9</v>
      </c>
      <c r="I16" s="2" t="n">
        <f aca="false">0.5*D16*E16*(B16^3)*G16*H16*F16/1000</f>
        <v>12.97080225</v>
      </c>
      <c r="J16" s="14"/>
      <c r="K16" s="14"/>
    </row>
    <row r="17" customFormat="false" ht="15" hidden="false" customHeight="false" outlineLevel="0" collapsed="false">
      <c r="A17" s="9" t="n">
        <v>0.583333333333333</v>
      </c>
      <c r="B17" s="10" t="n">
        <v>4.7</v>
      </c>
      <c r="C17" s="2" t="n">
        <v>23</v>
      </c>
      <c r="D17" s="2" t="n">
        <v>1.225</v>
      </c>
      <c r="E17" s="2" t="n">
        <v>100</v>
      </c>
      <c r="F17" s="2" t="n">
        <v>5</v>
      </c>
      <c r="G17" s="2" t="n">
        <v>0.4</v>
      </c>
      <c r="H17" s="2" t="n">
        <v>0.9</v>
      </c>
      <c r="I17" s="2" t="n">
        <f aca="false">0.5*D17*E17*(B17^3)*G17*H17*F17/1000</f>
        <v>11.44648575</v>
      </c>
      <c r="J17" s="14"/>
      <c r="K17" s="14"/>
    </row>
    <row r="18" customFormat="false" ht="15" hidden="false" customHeight="false" outlineLevel="0" collapsed="false">
      <c r="A18" s="9" t="n">
        <v>0.625</v>
      </c>
      <c r="B18" s="10" t="n">
        <v>4.5</v>
      </c>
      <c r="C18" s="2" t="n">
        <v>20</v>
      </c>
      <c r="D18" s="2" t="n">
        <v>1.225</v>
      </c>
      <c r="E18" s="2" t="n">
        <v>100</v>
      </c>
      <c r="F18" s="2" t="n">
        <v>5</v>
      </c>
      <c r="G18" s="2" t="n">
        <v>0.4</v>
      </c>
      <c r="H18" s="2" t="n">
        <v>0.9</v>
      </c>
      <c r="I18" s="2" t="n">
        <f aca="false">0.5*D18*E18*(B18^3)*G18*H18*F18/1000</f>
        <v>10.04653125</v>
      </c>
      <c r="J18" s="14"/>
      <c r="K18" s="14"/>
    </row>
    <row r="19" customFormat="false" ht="15" hidden="false" customHeight="false" outlineLevel="0" collapsed="false">
      <c r="A19" s="9" t="n">
        <v>0.666666666666667</v>
      </c>
      <c r="B19" s="10" t="n">
        <v>4.3</v>
      </c>
      <c r="C19" s="2" t="n">
        <v>16</v>
      </c>
      <c r="D19" s="2" t="n">
        <v>1.225</v>
      </c>
      <c r="E19" s="2" t="n">
        <v>100</v>
      </c>
      <c r="F19" s="2" t="n">
        <v>5</v>
      </c>
      <c r="G19" s="2" t="n">
        <v>0.4</v>
      </c>
      <c r="H19" s="2" t="n">
        <v>0.9</v>
      </c>
      <c r="I19" s="2" t="n">
        <f aca="false">0.5*D19*E19*(B19^3)*G19*H19*F19/1000</f>
        <v>8.76564675</v>
      </c>
      <c r="J19" s="14"/>
      <c r="K19" s="14"/>
    </row>
    <row r="20" customFormat="false" ht="15" hidden="false" customHeight="false" outlineLevel="0" collapsed="false">
      <c r="A20" s="9" t="n">
        <v>0.708333333333333</v>
      </c>
      <c r="B20" s="10" t="n">
        <v>4.1</v>
      </c>
      <c r="C20" s="2" t="n">
        <v>12</v>
      </c>
      <c r="D20" s="2" t="n">
        <v>1.225</v>
      </c>
      <c r="E20" s="2" t="n">
        <v>100</v>
      </c>
      <c r="F20" s="2" t="n">
        <v>5</v>
      </c>
      <c r="G20" s="2" t="n">
        <v>0.4</v>
      </c>
      <c r="H20" s="2" t="n">
        <v>0.9</v>
      </c>
      <c r="I20" s="2" t="n">
        <f aca="false">0.5*D20*E20*(B20^3)*G20*H20*F20/1000</f>
        <v>7.59854025</v>
      </c>
      <c r="J20" s="14"/>
      <c r="K20" s="14"/>
    </row>
    <row r="21" customFormat="false" ht="15" hidden="false" customHeight="false" outlineLevel="0" collapsed="false">
      <c r="A21" s="9" t="n">
        <v>0.75</v>
      </c>
      <c r="B21" s="10" t="n">
        <v>3.9</v>
      </c>
      <c r="C21" s="2" t="n">
        <v>10</v>
      </c>
      <c r="D21" s="2" t="n">
        <v>1.225</v>
      </c>
      <c r="E21" s="2" t="n">
        <v>100</v>
      </c>
      <c r="F21" s="2" t="n">
        <v>5</v>
      </c>
      <c r="G21" s="2" t="n">
        <v>0.4</v>
      </c>
      <c r="H21" s="2" t="n">
        <v>0.9</v>
      </c>
      <c r="I21" s="2" t="n">
        <f aca="false">0.5*D21*E21*(B21^3)*G21*H21*F21/1000</f>
        <v>6.53991975</v>
      </c>
      <c r="J21" s="14"/>
      <c r="K21" s="14"/>
    </row>
    <row r="22" customFormat="false" ht="15" hidden="false" customHeight="false" outlineLevel="0" collapsed="false">
      <c r="A22" s="9" t="n">
        <v>0.791666666666667</v>
      </c>
      <c r="B22" s="10" t="n">
        <v>3.7</v>
      </c>
      <c r="C22" s="2" t="n">
        <v>7</v>
      </c>
      <c r="D22" s="2" t="n">
        <v>1.225</v>
      </c>
      <c r="E22" s="2" t="n">
        <v>100</v>
      </c>
      <c r="F22" s="2" t="n">
        <v>5</v>
      </c>
      <c r="G22" s="2" t="n">
        <v>0.4</v>
      </c>
      <c r="H22" s="2" t="n">
        <v>0.9</v>
      </c>
      <c r="I22" s="2" t="n">
        <f aca="false">0.5*D22*E22*(B22^3)*G22*H22*F22/1000</f>
        <v>5.58449325</v>
      </c>
      <c r="J22" s="14"/>
      <c r="K22" s="14"/>
    </row>
    <row r="23" customFormat="false" ht="15" hidden="false" customHeight="false" outlineLevel="0" collapsed="false">
      <c r="A23" s="9" t="n">
        <v>0.833333333333333</v>
      </c>
      <c r="B23" s="10" t="n">
        <v>3.5</v>
      </c>
      <c r="C23" s="2" t="n">
        <v>6</v>
      </c>
      <c r="D23" s="2" t="n">
        <v>1.225</v>
      </c>
      <c r="E23" s="2" t="n">
        <v>100</v>
      </c>
      <c r="F23" s="2" t="n">
        <v>5</v>
      </c>
      <c r="G23" s="2" t="n">
        <v>0.4</v>
      </c>
      <c r="H23" s="2" t="n">
        <v>0.9</v>
      </c>
      <c r="I23" s="2" t="n">
        <f aca="false">0.5*D23*E23*(B23^3)*G23*H23*F23/1000</f>
        <v>4.72696875</v>
      </c>
      <c r="J23" s="14"/>
      <c r="K23" s="14"/>
    </row>
    <row r="24" customFormat="false" ht="15" hidden="false" customHeight="false" outlineLevel="0" collapsed="false">
      <c r="A24" s="9" t="n">
        <v>0.875</v>
      </c>
      <c r="B24" s="10" t="n">
        <v>3.3</v>
      </c>
      <c r="C24" s="2" t="n">
        <v>5</v>
      </c>
      <c r="D24" s="2" t="n">
        <v>1.225</v>
      </c>
      <c r="E24" s="2" t="n">
        <v>100</v>
      </c>
      <c r="F24" s="2" t="n">
        <v>5</v>
      </c>
      <c r="G24" s="2" t="n">
        <v>0.4</v>
      </c>
      <c r="H24" s="2" t="n">
        <v>0.9</v>
      </c>
      <c r="I24" s="2" t="n">
        <f aca="false">0.5*D24*E24*(B24^3)*G24*H24*F24/1000</f>
        <v>3.96205425</v>
      </c>
      <c r="J24" s="14"/>
      <c r="K24" s="14"/>
    </row>
    <row r="25" customFormat="false" ht="15" hidden="false" customHeight="false" outlineLevel="0" collapsed="false">
      <c r="A25" s="9" t="n">
        <v>0.916666666666667</v>
      </c>
      <c r="B25" s="10" t="n">
        <v>3.2</v>
      </c>
      <c r="C25" s="2" t="n">
        <v>5</v>
      </c>
      <c r="D25" s="2" t="n">
        <v>1.225</v>
      </c>
      <c r="E25" s="2" t="n">
        <v>100</v>
      </c>
      <c r="F25" s="2" t="n">
        <v>5</v>
      </c>
      <c r="G25" s="2" t="n">
        <v>0.4</v>
      </c>
      <c r="H25" s="2" t="n">
        <v>0.9</v>
      </c>
      <c r="I25" s="2" t="n">
        <f aca="false">0.5*D25*E25*(B25^3)*G25*H25*F25/1000</f>
        <v>3.612672</v>
      </c>
      <c r="J25" s="14"/>
      <c r="K25" s="14"/>
    </row>
    <row r="26" customFormat="false" ht="15" hidden="false" customHeight="false" outlineLevel="0" collapsed="false">
      <c r="A26" s="9" t="n">
        <v>0.958333333333333</v>
      </c>
      <c r="B26" s="10" t="n">
        <v>3.2</v>
      </c>
      <c r="C26" s="2" t="n">
        <v>4</v>
      </c>
      <c r="D26" s="2" t="n">
        <v>1.225</v>
      </c>
      <c r="E26" s="2" t="n">
        <v>100</v>
      </c>
      <c r="F26" s="2" t="n">
        <v>5</v>
      </c>
      <c r="G26" s="2" t="n">
        <v>0.4</v>
      </c>
      <c r="H26" s="2" t="n">
        <v>0.9</v>
      </c>
      <c r="I26" s="2" t="n">
        <f aca="false">0.5*D26*E26*(B26^3)*G26*H26*F26/1000</f>
        <v>3.612672</v>
      </c>
      <c r="J26" s="14"/>
      <c r="K26" s="14"/>
    </row>
    <row r="27" customFormat="false" ht="15" hidden="false" customHeight="false" outlineLevel="0" collapsed="false">
      <c r="I27" s="11" t="n">
        <f aca="false">SUM(I3:I26)</f>
        <v>205.86773025</v>
      </c>
      <c r="J27" s="11"/>
      <c r="K27" s="14"/>
    </row>
    <row r="28" customFormat="false" ht="15" hidden="false" customHeight="false" outlineLevel="0" collapsed="false">
      <c r="J28" s="14"/>
      <c r="K28" s="14"/>
    </row>
    <row r="29" customFormat="false" ht="15" hidden="false" customHeight="false" outlineLevel="0" collapsed="false">
      <c r="B29" s="11" t="n">
        <f aca="false">SUM(B3:B26)*31/1000</f>
        <v>3.0969</v>
      </c>
      <c r="I29" s="4" t="s">
        <v>9</v>
      </c>
      <c r="J29" s="11" t="n">
        <f aca="false">I27*31*0.9</f>
        <v>5743.709673975</v>
      </c>
      <c r="K29" s="14"/>
    </row>
    <row r="30" customFormat="false" ht="15" hidden="false" customHeight="false" outlineLevel="0" collapsed="false">
      <c r="B30" s="12" t="n">
        <f aca="false">B29*31</f>
        <v>96.0039</v>
      </c>
      <c r="J30" s="14"/>
      <c r="K30" s="14"/>
    </row>
    <row r="31" customFormat="false" ht="15" hidden="false" customHeight="false" outlineLevel="0" collapsed="false">
      <c r="B31" s="1" t="n">
        <v>6475</v>
      </c>
      <c r="C31" s="1" t="s">
        <v>10</v>
      </c>
      <c r="J31" s="14"/>
      <c r="K31" s="14"/>
    </row>
    <row r="32" customFormat="false" ht="13.8" hidden="false" customHeight="false" outlineLevel="0" collapsed="false">
      <c r="J32" s="14"/>
      <c r="K32" s="14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2:K4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F3" activeCellId="0" sqref="F3"/>
    </sheetView>
  </sheetViews>
  <sheetFormatPr defaultColWidth="8.54296875" defaultRowHeight="15" customHeight="false" zeroHeight="false" outlineLevelRow="0" outlineLevelCol="0"/>
  <cols>
    <col collapsed="false" customWidth="true" hidden="false" outlineLevel="0" max="1" min="1" style="1" width="5.57"/>
    <col collapsed="false" customWidth="true" hidden="false" outlineLevel="0" max="2" min="2" style="1" width="14.94"/>
    <col collapsed="false" customWidth="true" hidden="false" outlineLevel="0" max="3" min="3" style="1" width="10.71"/>
    <col collapsed="false" customWidth="true" hidden="false" outlineLevel="0" max="4" min="4" style="1" width="15.42"/>
    <col collapsed="false" customWidth="true" hidden="false" outlineLevel="0" max="5" min="5" style="1" width="12.42"/>
    <col collapsed="false" customWidth="true" hidden="false" outlineLevel="0" max="6" min="6" style="1" width="11.71"/>
    <col collapsed="false" customWidth="true" hidden="false" outlineLevel="0" max="7" min="7" style="2" width="15"/>
    <col collapsed="false" customWidth="true" hidden="false" outlineLevel="0" max="8" min="8" style="2" width="11.71"/>
    <col collapsed="false" customWidth="true" hidden="false" outlineLevel="0" max="9" min="9" style="2" width="17.07"/>
    <col collapsed="false" customWidth="true" hidden="false" outlineLevel="0" max="10" min="10" style="2" width="16"/>
    <col collapsed="false" customWidth="true" hidden="false" outlineLevel="0" max="11" min="11" style="2" width="14.42"/>
  </cols>
  <sheetData>
    <row r="2" customFormat="false" ht="24.05" hidden="false" customHeight="false" outlineLevel="0" collapsed="false">
      <c r="A2" s="4" t="s">
        <v>0</v>
      </c>
      <c r="B2" s="4" t="s">
        <v>1</v>
      </c>
      <c r="C2" s="5" t="s">
        <v>2</v>
      </c>
      <c r="D2" s="6" t="s">
        <v>3</v>
      </c>
      <c r="E2" s="6" t="s">
        <v>4</v>
      </c>
      <c r="F2" s="4" t="s">
        <v>5</v>
      </c>
      <c r="G2" s="7" t="s">
        <v>6</v>
      </c>
      <c r="H2" s="6" t="s">
        <v>7</v>
      </c>
      <c r="I2" s="8" t="s">
        <v>8</v>
      </c>
      <c r="J2" s="4"/>
      <c r="K2" s="4"/>
    </row>
    <row r="3" customFormat="false" ht="15" hidden="false" customHeight="false" outlineLevel="0" collapsed="false">
      <c r="A3" s="9" t="n">
        <v>0</v>
      </c>
      <c r="B3" s="10" t="n">
        <v>3.3</v>
      </c>
      <c r="C3" s="2" t="n">
        <v>4</v>
      </c>
      <c r="D3" s="2" t="n">
        <v>1.225</v>
      </c>
      <c r="E3" s="2" t="n">
        <v>100</v>
      </c>
      <c r="F3" s="2" t="n">
        <v>5</v>
      </c>
      <c r="G3" s="2" t="n">
        <v>0.4</v>
      </c>
      <c r="H3" s="2" t="n">
        <v>0.9</v>
      </c>
      <c r="I3" s="2" t="n">
        <f aca="false">0.5*D3*E3*(B3^3)*G3*H3*F3/1000</f>
        <v>3.96205425</v>
      </c>
      <c r="K3" s="14"/>
    </row>
    <row r="4" customFormat="false" ht="15" hidden="false" customHeight="false" outlineLevel="0" collapsed="false">
      <c r="A4" s="9" t="n">
        <v>0.0416666666666667</v>
      </c>
      <c r="B4" s="10" t="n">
        <v>3.5</v>
      </c>
      <c r="C4" s="2" t="n">
        <v>4</v>
      </c>
      <c r="D4" s="2" t="n">
        <v>1.225</v>
      </c>
      <c r="E4" s="2" t="n">
        <v>100</v>
      </c>
      <c r="F4" s="2" t="n">
        <v>5</v>
      </c>
      <c r="G4" s="2" t="n">
        <v>0.4</v>
      </c>
      <c r="H4" s="2" t="n">
        <v>0.9</v>
      </c>
      <c r="I4" s="2" t="n">
        <f aca="false">0.5*D4*E4*(B4^3)*G4*H4*F4/1000</f>
        <v>4.72696875</v>
      </c>
      <c r="K4" s="14"/>
    </row>
    <row r="5" customFormat="false" ht="15" hidden="false" customHeight="false" outlineLevel="0" collapsed="false">
      <c r="A5" s="9" t="n">
        <v>0.0833333333333333</v>
      </c>
      <c r="B5" s="10" t="n">
        <v>3.7</v>
      </c>
      <c r="C5" s="2" t="n">
        <v>3</v>
      </c>
      <c r="D5" s="2" t="n">
        <v>1.225</v>
      </c>
      <c r="E5" s="2" t="n">
        <v>100</v>
      </c>
      <c r="F5" s="2" t="n">
        <v>5</v>
      </c>
      <c r="G5" s="2" t="n">
        <v>0.4</v>
      </c>
      <c r="H5" s="2" t="n">
        <v>0.9</v>
      </c>
      <c r="I5" s="2" t="n">
        <f aca="false">0.5*D5*E5*(B5^3)*G5*H5*F5/1000</f>
        <v>5.58449325</v>
      </c>
      <c r="K5" s="14"/>
    </row>
    <row r="6" customFormat="false" ht="15" hidden="false" customHeight="false" outlineLevel="0" collapsed="false">
      <c r="A6" s="9" t="n">
        <v>0.125</v>
      </c>
      <c r="B6" s="10" t="n">
        <v>3.9</v>
      </c>
      <c r="C6" s="2" t="n">
        <v>3</v>
      </c>
      <c r="D6" s="2" t="n">
        <v>1.225</v>
      </c>
      <c r="E6" s="2" t="n">
        <v>100</v>
      </c>
      <c r="F6" s="2" t="n">
        <v>5</v>
      </c>
      <c r="G6" s="2" t="n">
        <v>0.4</v>
      </c>
      <c r="H6" s="2" t="n">
        <v>0.9</v>
      </c>
      <c r="I6" s="2" t="n">
        <f aca="false">0.5*D6*E6*(B6^3)*G6*H6*F6/1000</f>
        <v>6.53991975</v>
      </c>
      <c r="K6" s="14"/>
    </row>
    <row r="7" customFormat="false" ht="15" hidden="false" customHeight="false" outlineLevel="0" collapsed="false">
      <c r="A7" s="9" t="n">
        <v>0.166666666666667</v>
      </c>
      <c r="B7" s="10" t="n">
        <v>4.1</v>
      </c>
      <c r="C7" s="2" t="n">
        <v>3</v>
      </c>
      <c r="D7" s="2" t="n">
        <v>1.225</v>
      </c>
      <c r="E7" s="2" t="n">
        <v>100</v>
      </c>
      <c r="F7" s="2" t="n">
        <v>5</v>
      </c>
      <c r="G7" s="2" t="n">
        <v>0.4</v>
      </c>
      <c r="H7" s="2" t="n">
        <v>0.9</v>
      </c>
      <c r="I7" s="2" t="n">
        <f aca="false">0.5*D7*E7*(B7^3)*G7*H7*F7/1000</f>
        <v>7.59854025</v>
      </c>
      <c r="K7" s="14"/>
    </row>
    <row r="8" customFormat="false" ht="15" hidden="false" customHeight="false" outlineLevel="0" collapsed="false">
      <c r="A8" s="9" t="n">
        <v>0.208333333333333</v>
      </c>
      <c r="B8" s="10" t="n">
        <v>4.3</v>
      </c>
      <c r="C8" s="2" t="n">
        <v>4</v>
      </c>
      <c r="D8" s="2" t="n">
        <v>1.225</v>
      </c>
      <c r="E8" s="2" t="n">
        <v>100</v>
      </c>
      <c r="F8" s="2" t="n">
        <v>5</v>
      </c>
      <c r="G8" s="2" t="n">
        <v>0.4</v>
      </c>
      <c r="H8" s="2" t="n">
        <v>0.9</v>
      </c>
      <c r="I8" s="2" t="n">
        <f aca="false">0.5*D8*E8*(B8^3)*G8*H8*F8/1000</f>
        <v>8.76564675</v>
      </c>
      <c r="K8" s="14"/>
    </row>
    <row r="9" customFormat="false" ht="15" hidden="false" customHeight="false" outlineLevel="0" collapsed="false">
      <c r="A9" s="9" t="n">
        <v>0.25</v>
      </c>
      <c r="B9" s="10" t="n">
        <v>4.5</v>
      </c>
      <c r="C9" s="2" t="n">
        <v>4</v>
      </c>
      <c r="D9" s="2" t="n">
        <v>1.225</v>
      </c>
      <c r="E9" s="2" t="n">
        <v>100</v>
      </c>
      <c r="F9" s="2" t="n">
        <v>5</v>
      </c>
      <c r="G9" s="2" t="n">
        <v>0.4</v>
      </c>
      <c r="H9" s="2" t="n">
        <v>0.9</v>
      </c>
      <c r="I9" s="2" t="n">
        <f aca="false">0.5*D9*E9*(B9^3)*G9*H9*F9/1000</f>
        <v>10.04653125</v>
      </c>
      <c r="K9" s="14"/>
    </row>
    <row r="10" customFormat="false" ht="15" hidden="false" customHeight="false" outlineLevel="0" collapsed="false">
      <c r="A10" s="9" t="n">
        <v>0.291666666666667</v>
      </c>
      <c r="B10" s="10" t="n">
        <v>4.7</v>
      </c>
      <c r="C10" s="2" t="n">
        <v>5</v>
      </c>
      <c r="D10" s="2" t="n">
        <v>1.225</v>
      </c>
      <c r="E10" s="2" t="n">
        <v>100</v>
      </c>
      <c r="F10" s="2" t="n">
        <v>5</v>
      </c>
      <c r="G10" s="2" t="n">
        <v>0.4</v>
      </c>
      <c r="H10" s="2" t="n">
        <v>0.9</v>
      </c>
      <c r="I10" s="2" t="n">
        <f aca="false">0.5*D10*E10*(B10^3)*G10*H10*F10/1000</f>
        <v>11.44648575</v>
      </c>
      <c r="K10" s="14"/>
    </row>
    <row r="11" customFormat="false" ht="15" hidden="false" customHeight="false" outlineLevel="0" collapsed="false">
      <c r="A11" s="9" t="n">
        <v>0.333333333333333</v>
      </c>
      <c r="B11" s="10" t="n">
        <v>4.9</v>
      </c>
      <c r="C11" s="2" t="n">
        <v>7</v>
      </c>
      <c r="D11" s="2" t="n">
        <v>1.225</v>
      </c>
      <c r="E11" s="2" t="n">
        <v>100</v>
      </c>
      <c r="F11" s="2" t="n">
        <v>5</v>
      </c>
      <c r="G11" s="2" t="n">
        <v>0.4</v>
      </c>
      <c r="H11" s="2" t="n">
        <v>0.9</v>
      </c>
      <c r="I11" s="2" t="n">
        <f aca="false">0.5*D11*E11*(B11^3)*G11*H11*F11/1000</f>
        <v>12.97080225</v>
      </c>
      <c r="K11" s="14"/>
    </row>
    <row r="12" customFormat="false" ht="15" hidden="false" customHeight="false" outlineLevel="0" collapsed="false">
      <c r="A12" s="9" t="n">
        <v>0.375</v>
      </c>
      <c r="B12" s="10" t="n">
        <v>5.1</v>
      </c>
      <c r="C12" s="2" t="n">
        <v>10</v>
      </c>
      <c r="D12" s="2" t="n">
        <v>1.225</v>
      </c>
      <c r="E12" s="2" t="n">
        <v>100</v>
      </c>
      <c r="F12" s="2" t="n">
        <v>5</v>
      </c>
      <c r="G12" s="2" t="n">
        <v>0.4</v>
      </c>
      <c r="H12" s="2" t="n">
        <v>0.9</v>
      </c>
      <c r="I12" s="2" t="n">
        <f aca="false">0.5*D12*E12*(B12^3)*G12*H12*F12/1000</f>
        <v>14.62477275</v>
      </c>
      <c r="K12" s="14"/>
    </row>
    <row r="13" customFormat="false" ht="15" hidden="false" customHeight="false" outlineLevel="0" collapsed="false">
      <c r="A13" s="9" t="n">
        <v>0.416666666666667</v>
      </c>
      <c r="B13" s="10" t="n">
        <v>5.3</v>
      </c>
      <c r="C13" s="2" t="n">
        <v>15</v>
      </c>
      <c r="D13" s="2" t="n">
        <v>1.225</v>
      </c>
      <c r="E13" s="2" t="n">
        <v>100</v>
      </c>
      <c r="F13" s="2" t="n">
        <v>5</v>
      </c>
      <c r="G13" s="2" t="n">
        <v>0.4</v>
      </c>
      <c r="H13" s="2" t="n">
        <v>0.9</v>
      </c>
      <c r="I13" s="2" t="n">
        <f aca="false">0.5*D13*E13*(B13^3)*G13*H13*F13/1000</f>
        <v>16.41368925</v>
      </c>
      <c r="K13" s="14"/>
    </row>
    <row r="14" customFormat="false" ht="15" hidden="false" customHeight="false" outlineLevel="0" collapsed="false">
      <c r="A14" s="9" t="n">
        <v>0.458333333333333</v>
      </c>
      <c r="B14" s="10" t="n">
        <v>5.4</v>
      </c>
      <c r="C14" s="2" t="n">
        <v>20</v>
      </c>
      <c r="D14" s="2" t="n">
        <v>1.225</v>
      </c>
      <c r="E14" s="2" t="n">
        <v>100</v>
      </c>
      <c r="F14" s="2" t="n">
        <v>5</v>
      </c>
      <c r="G14" s="2" t="n">
        <v>0.4</v>
      </c>
      <c r="H14" s="2" t="n">
        <v>0.9</v>
      </c>
      <c r="I14" s="2" t="n">
        <f aca="false">0.5*D14*E14*(B14^3)*G14*H14*F14/1000</f>
        <v>17.360406</v>
      </c>
      <c r="K14" s="14"/>
    </row>
    <row r="15" customFormat="false" ht="15" hidden="false" customHeight="false" outlineLevel="0" collapsed="false">
      <c r="A15" s="9" t="n">
        <v>0.5</v>
      </c>
      <c r="B15" s="10" t="n">
        <v>5.2</v>
      </c>
      <c r="C15" s="2" t="n">
        <v>23</v>
      </c>
      <c r="D15" s="2" t="n">
        <v>1.225</v>
      </c>
      <c r="E15" s="2" t="n">
        <v>100</v>
      </c>
      <c r="F15" s="2" t="n">
        <v>5</v>
      </c>
      <c r="G15" s="2" t="n">
        <v>0.4</v>
      </c>
      <c r="H15" s="2" t="n">
        <v>0.9</v>
      </c>
      <c r="I15" s="2" t="n">
        <f aca="false">0.5*D15*E15*(B15^3)*G15*H15*F15/1000</f>
        <v>15.502032</v>
      </c>
      <c r="K15" s="14"/>
    </row>
    <row r="16" customFormat="false" ht="15" hidden="false" customHeight="false" outlineLevel="0" collapsed="false">
      <c r="A16" s="9" t="n">
        <v>0.541666666666667</v>
      </c>
      <c r="B16" s="10" t="n">
        <v>5</v>
      </c>
      <c r="C16" s="2" t="n">
        <v>24</v>
      </c>
      <c r="D16" s="2" t="n">
        <v>1.225</v>
      </c>
      <c r="E16" s="2" t="n">
        <v>100</v>
      </c>
      <c r="F16" s="2" t="n">
        <v>5</v>
      </c>
      <c r="G16" s="2" t="n">
        <v>0.4</v>
      </c>
      <c r="H16" s="2" t="n">
        <v>0.9</v>
      </c>
      <c r="I16" s="2" t="n">
        <f aca="false">0.5*D16*E16*(B16^3)*G16*H16*F16/1000</f>
        <v>13.78125</v>
      </c>
      <c r="K16" s="14"/>
    </row>
    <row r="17" customFormat="false" ht="15" hidden="false" customHeight="false" outlineLevel="0" collapsed="false">
      <c r="A17" s="9" t="n">
        <v>0.583333333333333</v>
      </c>
      <c r="B17" s="10" t="n">
        <v>4.8</v>
      </c>
      <c r="C17" s="2" t="n">
        <v>23</v>
      </c>
      <c r="D17" s="2" t="n">
        <v>1.225</v>
      </c>
      <c r="E17" s="2" t="n">
        <v>100</v>
      </c>
      <c r="F17" s="2" t="n">
        <v>5</v>
      </c>
      <c r="G17" s="2" t="n">
        <v>0.4</v>
      </c>
      <c r="H17" s="2" t="n">
        <v>0.9</v>
      </c>
      <c r="I17" s="2" t="n">
        <f aca="false">0.5*D17*E17*(B17^3)*G17*H17*F17/1000</f>
        <v>12.192768</v>
      </c>
      <c r="K17" s="14"/>
    </row>
    <row r="18" customFormat="false" ht="15" hidden="false" customHeight="false" outlineLevel="0" collapsed="false">
      <c r="A18" s="9" t="n">
        <v>0.625</v>
      </c>
      <c r="B18" s="10" t="n">
        <v>4.6</v>
      </c>
      <c r="C18" s="2" t="n">
        <v>20</v>
      </c>
      <c r="D18" s="2" t="n">
        <v>1.225</v>
      </c>
      <c r="E18" s="2" t="n">
        <v>100</v>
      </c>
      <c r="F18" s="2" t="n">
        <v>5</v>
      </c>
      <c r="G18" s="2" t="n">
        <v>0.4</v>
      </c>
      <c r="H18" s="2" t="n">
        <v>0.9</v>
      </c>
      <c r="I18" s="2" t="n">
        <f aca="false">0.5*D18*E18*(B18^3)*G18*H18*F18/1000</f>
        <v>10.731294</v>
      </c>
      <c r="K18" s="14"/>
    </row>
    <row r="19" customFormat="false" ht="15" hidden="false" customHeight="false" outlineLevel="0" collapsed="false">
      <c r="A19" s="9" t="n">
        <v>0.666666666666667</v>
      </c>
      <c r="B19" s="10" t="n">
        <v>4.4</v>
      </c>
      <c r="C19" s="2" t="n">
        <v>16</v>
      </c>
      <c r="D19" s="2" t="n">
        <v>1.225</v>
      </c>
      <c r="E19" s="2" t="n">
        <v>100</v>
      </c>
      <c r="F19" s="2" t="n">
        <v>5</v>
      </c>
      <c r="G19" s="2" t="n">
        <v>0.4</v>
      </c>
      <c r="H19" s="2" t="n">
        <v>0.9</v>
      </c>
      <c r="I19" s="2" t="n">
        <f aca="false">0.5*D19*E19*(B19^3)*G19*H19*F19/1000</f>
        <v>9.39153600000001</v>
      </c>
      <c r="K19" s="14"/>
    </row>
    <row r="20" customFormat="false" ht="15" hidden="false" customHeight="false" outlineLevel="0" collapsed="false">
      <c r="A20" s="9" t="n">
        <v>0.708333333333333</v>
      </c>
      <c r="B20" s="10" t="n">
        <v>4.2</v>
      </c>
      <c r="C20" s="2" t="n">
        <v>12</v>
      </c>
      <c r="D20" s="2" t="n">
        <v>1.225</v>
      </c>
      <c r="E20" s="2" t="n">
        <v>100</v>
      </c>
      <c r="F20" s="2" t="n">
        <v>5</v>
      </c>
      <c r="G20" s="2" t="n">
        <v>0.4</v>
      </c>
      <c r="H20" s="2" t="n">
        <v>0.9</v>
      </c>
      <c r="I20" s="2" t="n">
        <f aca="false">0.5*D20*E20*(B20^3)*G20*H20*F20/1000</f>
        <v>8.168202</v>
      </c>
      <c r="K20" s="14"/>
    </row>
    <row r="21" customFormat="false" ht="15" hidden="false" customHeight="false" outlineLevel="0" collapsed="false">
      <c r="A21" s="9" t="n">
        <v>0.75</v>
      </c>
      <c r="B21" s="10" t="n">
        <v>4</v>
      </c>
      <c r="C21" s="2" t="n">
        <v>10</v>
      </c>
      <c r="D21" s="2" t="n">
        <v>1.225</v>
      </c>
      <c r="E21" s="2" t="n">
        <v>100</v>
      </c>
      <c r="F21" s="2" t="n">
        <v>5</v>
      </c>
      <c r="G21" s="2" t="n">
        <v>0.4</v>
      </c>
      <c r="H21" s="2" t="n">
        <v>0.9</v>
      </c>
      <c r="I21" s="2" t="n">
        <f aca="false">0.5*D21*E21*(B21^3)*G21*H21*F21/1000</f>
        <v>7.056</v>
      </c>
      <c r="K21" s="14"/>
    </row>
    <row r="22" customFormat="false" ht="15" hidden="false" customHeight="false" outlineLevel="0" collapsed="false">
      <c r="A22" s="9" t="n">
        <v>0.791666666666667</v>
      </c>
      <c r="B22" s="10" t="n">
        <v>3.8</v>
      </c>
      <c r="C22" s="2" t="n">
        <v>7</v>
      </c>
      <c r="D22" s="2" t="n">
        <v>1.225</v>
      </c>
      <c r="E22" s="2" t="n">
        <v>100</v>
      </c>
      <c r="F22" s="2" t="n">
        <v>5</v>
      </c>
      <c r="G22" s="2" t="n">
        <v>0.4</v>
      </c>
      <c r="H22" s="2" t="n">
        <v>0.9</v>
      </c>
      <c r="I22" s="2" t="n">
        <f aca="false">0.5*D22*E22*(B22^3)*G22*H22*F22/1000</f>
        <v>6.049638</v>
      </c>
      <c r="K22" s="14"/>
    </row>
    <row r="23" customFormat="false" ht="15" hidden="false" customHeight="false" outlineLevel="0" collapsed="false">
      <c r="A23" s="9" t="n">
        <v>0.833333333333333</v>
      </c>
      <c r="B23" s="10" t="n">
        <v>3.6</v>
      </c>
      <c r="C23" s="2" t="n">
        <v>6</v>
      </c>
      <c r="D23" s="2" t="n">
        <v>1.225</v>
      </c>
      <c r="E23" s="2" t="n">
        <v>100</v>
      </c>
      <c r="F23" s="2" t="n">
        <v>5</v>
      </c>
      <c r="G23" s="2" t="n">
        <v>0.4</v>
      </c>
      <c r="H23" s="2" t="n">
        <v>0.9</v>
      </c>
      <c r="I23" s="2" t="n">
        <f aca="false">0.5*D23*E23*(B23^3)*G23*H23*F23/1000</f>
        <v>5.143824</v>
      </c>
      <c r="K23" s="14"/>
    </row>
    <row r="24" customFormat="false" ht="15" hidden="false" customHeight="false" outlineLevel="0" collapsed="false">
      <c r="A24" s="9" t="n">
        <v>0.875</v>
      </c>
      <c r="B24" s="10" t="n">
        <v>3.4</v>
      </c>
      <c r="C24" s="2" t="n">
        <v>5</v>
      </c>
      <c r="D24" s="2" t="n">
        <v>1.225</v>
      </c>
      <c r="E24" s="2" t="n">
        <v>100</v>
      </c>
      <c r="F24" s="2" t="n">
        <v>5</v>
      </c>
      <c r="G24" s="2" t="n">
        <v>0.4</v>
      </c>
      <c r="H24" s="2" t="n">
        <v>0.9</v>
      </c>
      <c r="I24" s="2" t="n">
        <f aca="false">0.5*D24*E24*(B24^3)*G24*H24*F24/1000</f>
        <v>4.333266</v>
      </c>
      <c r="K24" s="14"/>
    </row>
    <row r="25" customFormat="false" ht="15" hidden="false" customHeight="false" outlineLevel="0" collapsed="false">
      <c r="A25" s="9" t="n">
        <v>0.916666666666667</v>
      </c>
      <c r="B25" s="10" t="n">
        <v>3.3</v>
      </c>
      <c r="C25" s="2" t="n">
        <v>5</v>
      </c>
      <c r="D25" s="2" t="n">
        <v>1.225</v>
      </c>
      <c r="E25" s="2" t="n">
        <v>100</v>
      </c>
      <c r="F25" s="2" t="n">
        <v>5</v>
      </c>
      <c r="G25" s="2" t="n">
        <v>0.4</v>
      </c>
      <c r="H25" s="2" t="n">
        <v>0.9</v>
      </c>
      <c r="I25" s="2" t="n">
        <f aca="false">0.5*D25*E25*(B25^3)*G25*H25*F25/1000</f>
        <v>3.96205425</v>
      </c>
      <c r="K25" s="14"/>
    </row>
    <row r="26" customFormat="false" ht="15" hidden="false" customHeight="false" outlineLevel="0" collapsed="false">
      <c r="A26" s="9" t="n">
        <v>0.958333333333333</v>
      </c>
      <c r="B26" s="10" t="n">
        <v>3.3</v>
      </c>
      <c r="C26" s="2" t="n">
        <v>4</v>
      </c>
      <c r="D26" s="2" t="n">
        <v>1.225</v>
      </c>
      <c r="E26" s="2" t="n">
        <v>100</v>
      </c>
      <c r="F26" s="2" t="n">
        <v>5</v>
      </c>
      <c r="G26" s="2" t="n">
        <v>0.4</v>
      </c>
      <c r="H26" s="2" t="n">
        <v>0.9</v>
      </c>
      <c r="I26" s="2" t="n">
        <f aca="false">0.5*D26*E26*(B26^3)*G26*H26*F26/1000</f>
        <v>3.96205425</v>
      </c>
      <c r="K26" s="14"/>
    </row>
    <row r="27" customFormat="false" ht="15" hidden="false" customHeight="false" outlineLevel="0" collapsed="false">
      <c r="I27" s="11" t="n">
        <f aca="false">SUM(I3:I26)</f>
        <v>220.31422875</v>
      </c>
      <c r="J27" s="11"/>
      <c r="K27" s="14"/>
    </row>
    <row r="28" customFormat="false" ht="15" hidden="false" customHeight="false" outlineLevel="0" collapsed="false">
      <c r="J28" s="14"/>
      <c r="K28" s="14"/>
    </row>
    <row r="29" customFormat="false" ht="15" hidden="false" customHeight="false" outlineLevel="0" collapsed="false">
      <c r="B29" s="11" t="n">
        <f aca="false">SUM(B3:B26)*31/1000</f>
        <v>3.1713</v>
      </c>
      <c r="I29" s="4" t="s">
        <v>9</v>
      </c>
      <c r="J29" s="11" t="n">
        <f aca="false">I27*31*0.9</f>
        <v>6146.766982125</v>
      </c>
      <c r="K29" s="14"/>
    </row>
    <row r="30" customFormat="false" ht="15" hidden="false" customHeight="false" outlineLevel="0" collapsed="false">
      <c r="B30" s="12" t="n">
        <f aca="false">B29*31</f>
        <v>98.3103</v>
      </c>
      <c r="J30" s="14"/>
      <c r="K30" s="14"/>
    </row>
    <row r="31" customFormat="false" ht="15" hidden="false" customHeight="false" outlineLevel="0" collapsed="false">
      <c r="B31" s="1" t="n">
        <v>5864</v>
      </c>
      <c r="C31" s="1" t="s">
        <v>10</v>
      </c>
      <c r="J31" s="14"/>
      <c r="K31" s="14"/>
    </row>
    <row r="32" customFormat="false" ht="13.8" hidden="false" customHeight="false" outlineLevel="0" collapsed="false">
      <c r="J32" s="14"/>
      <c r="K32" s="14"/>
    </row>
    <row r="33" customFormat="false" ht="13.8" hidden="false" customHeight="false" outlineLevel="0" collapsed="false">
      <c r="J33" s="14"/>
      <c r="K33" s="14"/>
    </row>
    <row r="34" customFormat="false" ht="13.8" hidden="false" customHeight="false" outlineLevel="0" collapsed="false">
      <c r="J34" s="14"/>
      <c r="K34" s="14"/>
    </row>
    <row r="35" customFormat="false" ht="13.8" hidden="false" customHeight="false" outlineLevel="0" collapsed="false">
      <c r="J35" s="14"/>
      <c r="K35" s="14"/>
    </row>
    <row r="36" customFormat="false" ht="13.8" hidden="false" customHeight="false" outlineLevel="0" collapsed="false">
      <c r="J36" s="14"/>
      <c r="K36" s="14"/>
    </row>
    <row r="37" customFormat="false" ht="13.8" hidden="false" customHeight="false" outlineLevel="0" collapsed="false">
      <c r="J37" s="14"/>
      <c r="K37" s="14"/>
    </row>
    <row r="38" customFormat="false" ht="13.8" hidden="false" customHeight="false" outlineLevel="0" collapsed="false">
      <c r="J38" s="14"/>
      <c r="K38" s="14"/>
    </row>
    <row r="39" customFormat="false" ht="13.8" hidden="false" customHeight="false" outlineLevel="0" collapsed="false">
      <c r="J39" s="14"/>
      <c r="K39" s="14"/>
    </row>
    <row r="40" customFormat="false" ht="13.8" hidden="false" customHeight="false" outlineLevel="0" collapsed="false">
      <c r="J40" s="14"/>
      <c r="K40" s="14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2:K3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F3" activeCellId="0" sqref="F3"/>
    </sheetView>
  </sheetViews>
  <sheetFormatPr defaultColWidth="8.54296875" defaultRowHeight="15" customHeight="false" zeroHeight="false" outlineLevelRow="0" outlineLevelCol="0"/>
  <cols>
    <col collapsed="false" customWidth="true" hidden="false" outlineLevel="0" max="1" min="1" style="1" width="5.57"/>
    <col collapsed="false" customWidth="true" hidden="false" outlineLevel="0" max="2" min="2" style="1" width="16.12"/>
    <col collapsed="false" customWidth="true" hidden="false" outlineLevel="0" max="3" min="3" style="1" width="10.71"/>
    <col collapsed="false" customWidth="true" hidden="false" outlineLevel="0" max="4" min="4" style="1" width="15.42"/>
    <col collapsed="false" customWidth="true" hidden="false" outlineLevel="0" max="5" min="5" style="1" width="12.42"/>
    <col collapsed="false" customWidth="true" hidden="false" outlineLevel="0" max="6" min="6" style="1" width="11.71"/>
    <col collapsed="false" customWidth="true" hidden="false" outlineLevel="0" max="7" min="7" style="2" width="15"/>
    <col collapsed="false" customWidth="true" hidden="false" outlineLevel="0" max="8" min="8" style="2" width="11.71"/>
    <col collapsed="false" customWidth="true" hidden="false" outlineLevel="0" max="9" min="9" style="2" width="19.52"/>
    <col collapsed="false" customWidth="true" hidden="false" outlineLevel="0" max="10" min="10" style="2" width="16"/>
    <col collapsed="false" customWidth="true" hidden="false" outlineLevel="0" max="11" min="11" style="2" width="14.42"/>
  </cols>
  <sheetData>
    <row r="2" customFormat="false" ht="24.05" hidden="false" customHeight="false" outlineLevel="0" collapsed="false">
      <c r="A2" s="4" t="s">
        <v>0</v>
      </c>
      <c r="B2" s="4" t="s">
        <v>1</v>
      </c>
      <c r="C2" s="5" t="s">
        <v>2</v>
      </c>
      <c r="D2" s="6" t="s">
        <v>3</v>
      </c>
      <c r="E2" s="6" t="s">
        <v>4</v>
      </c>
      <c r="F2" s="4" t="s">
        <v>5</v>
      </c>
      <c r="G2" s="7" t="s">
        <v>6</v>
      </c>
      <c r="H2" s="6" t="s">
        <v>7</v>
      </c>
      <c r="I2" s="8" t="s">
        <v>8</v>
      </c>
      <c r="J2" s="4"/>
      <c r="K2" s="4"/>
    </row>
    <row r="3" customFormat="false" ht="15" hidden="false" customHeight="false" outlineLevel="0" collapsed="false">
      <c r="A3" s="9" t="n">
        <v>0</v>
      </c>
      <c r="B3" s="10" t="n">
        <v>4</v>
      </c>
      <c r="C3" s="2" t="n">
        <v>4</v>
      </c>
      <c r="D3" s="2" t="n">
        <v>1.225</v>
      </c>
      <c r="E3" s="2" t="n">
        <v>100</v>
      </c>
      <c r="F3" s="2" t="n">
        <v>5</v>
      </c>
      <c r="G3" s="2" t="n">
        <v>0.4</v>
      </c>
      <c r="H3" s="2" t="n">
        <v>0.9</v>
      </c>
      <c r="I3" s="2" t="n">
        <f aca="false">0.5*D3*E3*(B3^3)*G3*H3*F3/1000</f>
        <v>7.056</v>
      </c>
      <c r="J3" s="10"/>
      <c r="K3" s="14"/>
    </row>
    <row r="4" customFormat="false" ht="15" hidden="false" customHeight="false" outlineLevel="0" collapsed="false">
      <c r="A4" s="9" t="n">
        <v>0.0416666666666667</v>
      </c>
      <c r="B4" s="10" t="n">
        <v>4.3</v>
      </c>
      <c r="C4" s="2" t="n">
        <v>4</v>
      </c>
      <c r="D4" s="2" t="n">
        <v>1.225</v>
      </c>
      <c r="E4" s="2" t="n">
        <v>100</v>
      </c>
      <c r="F4" s="2" t="n">
        <v>5</v>
      </c>
      <c r="G4" s="2" t="n">
        <v>0.4</v>
      </c>
      <c r="H4" s="2" t="n">
        <v>0.9</v>
      </c>
      <c r="I4" s="2" t="n">
        <f aca="false">0.5*D4*E4*(B4^3)*G4*H4*F4/1000</f>
        <v>8.76564675</v>
      </c>
      <c r="J4" s="10"/>
      <c r="K4" s="14"/>
    </row>
    <row r="5" customFormat="false" ht="15" hidden="false" customHeight="false" outlineLevel="0" collapsed="false">
      <c r="A5" s="9" t="n">
        <v>0.0833333333333333</v>
      </c>
      <c r="B5" s="10" t="n">
        <v>4.6</v>
      </c>
      <c r="C5" s="2" t="n">
        <v>3</v>
      </c>
      <c r="D5" s="2" t="n">
        <v>1.225</v>
      </c>
      <c r="E5" s="2" t="n">
        <v>100</v>
      </c>
      <c r="F5" s="2" t="n">
        <v>5</v>
      </c>
      <c r="G5" s="2" t="n">
        <v>0.4</v>
      </c>
      <c r="H5" s="2" t="n">
        <v>0.9</v>
      </c>
      <c r="I5" s="2" t="n">
        <f aca="false">0.5*D5*E5*(B5^3)*G5*H5*F5/1000</f>
        <v>10.731294</v>
      </c>
      <c r="J5" s="10"/>
      <c r="K5" s="14"/>
    </row>
    <row r="6" customFormat="false" ht="15" hidden="false" customHeight="false" outlineLevel="0" collapsed="false">
      <c r="A6" s="9" t="n">
        <v>0.125</v>
      </c>
      <c r="B6" s="10" t="n">
        <v>4.9</v>
      </c>
      <c r="C6" s="2" t="n">
        <v>3</v>
      </c>
      <c r="D6" s="2" t="n">
        <v>1.225</v>
      </c>
      <c r="E6" s="2" t="n">
        <v>100</v>
      </c>
      <c r="F6" s="2" t="n">
        <v>5</v>
      </c>
      <c r="G6" s="2" t="n">
        <v>0.4</v>
      </c>
      <c r="H6" s="2" t="n">
        <v>0.9</v>
      </c>
      <c r="I6" s="2" t="n">
        <f aca="false">0.5*D6*E6*(B6^3)*G6*H6*F6/1000</f>
        <v>12.97080225</v>
      </c>
      <c r="J6" s="10"/>
      <c r="K6" s="14"/>
    </row>
    <row r="7" customFormat="false" ht="15" hidden="false" customHeight="false" outlineLevel="0" collapsed="false">
      <c r="A7" s="9" t="n">
        <v>0.166666666666667</v>
      </c>
      <c r="B7" s="10" t="n">
        <v>5.2</v>
      </c>
      <c r="C7" s="2" t="n">
        <v>3</v>
      </c>
      <c r="D7" s="2" t="n">
        <v>1.225</v>
      </c>
      <c r="E7" s="2" t="n">
        <v>100</v>
      </c>
      <c r="F7" s="2" t="n">
        <v>5</v>
      </c>
      <c r="G7" s="2" t="n">
        <v>0.4</v>
      </c>
      <c r="H7" s="2" t="n">
        <v>0.9</v>
      </c>
      <c r="I7" s="2" t="n">
        <f aca="false">0.5*D7*E7*(B7^3)*G7*H7*F7/1000</f>
        <v>15.502032</v>
      </c>
      <c r="J7" s="10"/>
      <c r="K7" s="14"/>
    </row>
    <row r="8" customFormat="false" ht="15" hidden="false" customHeight="false" outlineLevel="0" collapsed="false">
      <c r="A8" s="9" t="n">
        <v>0.208333333333333</v>
      </c>
      <c r="B8" s="10" t="n">
        <v>5.5</v>
      </c>
      <c r="C8" s="2" t="n">
        <v>4</v>
      </c>
      <c r="D8" s="2" t="n">
        <v>1.225</v>
      </c>
      <c r="E8" s="2" t="n">
        <v>100</v>
      </c>
      <c r="F8" s="2" t="n">
        <v>5</v>
      </c>
      <c r="G8" s="2" t="n">
        <v>0.4</v>
      </c>
      <c r="H8" s="2" t="n">
        <v>0.9</v>
      </c>
      <c r="I8" s="2" t="n">
        <f aca="false">0.5*D8*E8*(B8^3)*G8*H8*F8/1000</f>
        <v>18.34284375</v>
      </c>
      <c r="J8" s="10"/>
      <c r="K8" s="14"/>
    </row>
    <row r="9" customFormat="false" ht="15" hidden="false" customHeight="false" outlineLevel="0" collapsed="false">
      <c r="A9" s="9" t="n">
        <v>0.25</v>
      </c>
      <c r="B9" s="10" t="n">
        <v>5.8</v>
      </c>
      <c r="C9" s="2" t="n">
        <v>4</v>
      </c>
      <c r="D9" s="2" t="n">
        <v>1.225</v>
      </c>
      <c r="E9" s="2" t="n">
        <v>100</v>
      </c>
      <c r="F9" s="2" t="n">
        <v>5</v>
      </c>
      <c r="G9" s="2" t="n">
        <v>0.4</v>
      </c>
      <c r="H9" s="2" t="n">
        <v>0.9</v>
      </c>
      <c r="I9" s="2" t="n">
        <f aca="false">0.5*D9*E9*(B9^3)*G9*H9*F9/1000</f>
        <v>21.511098</v>
      </c>
      <c r="J9" s="10"/>
      <c r="K9" s="14"/>
    </row>
    <row r="10" customFormat="false" ht="15" hidden="false" customHeight="false" outlineLevel="0" collapsed="false">
      <c r="A10" s="9" t="n">
        <v>0.291666666666667</v>
      </c>
      <c r="B10" s="10" t="n">
        <v>6.1</v>
      </c>
      <c r="C10" s="2" t="n">
        <v>5</v>
      </c>
      <c r="D10" s="2" t="n">
        <v>1.225</v>
      </c>
      <c r="E10" s="2" t="n">
        <v>100</v>
      </c>
      <c r="F10" s="2" t="n">
        <v>5</v>
      </c>
      <c r="G10" s="2" t="n">
        <v>0.4</v>
      </c>
      <c r="H10" s="2" t="n">
        <v>0.9</v>
      </c>
      <c r="I10" s="2" t="n">
        <f aca="false">0.5*D10*E10*(B10^3)*G10*H10*F10/1000</f>
        <v>25.02465525</v>
      </c>
      <c r="J10" s="10"/>
      <c r="K10" s="14"/>
    </row>
    <row r="11" customFormat="false" ht="15" hidden="false" customHeight="false" outlineLevel="0" collapsed="false">
      <c r="A11" s="9" t="n">
        <v>0.333333333333333</v>
      </c>
      <c r="B11" s="10" t="n">
        <v>6.4</v>
      </c>
      <c r="C11" s="2" t="n">
        <v>7</v>
      </c>
      <c r="D11" s="2" t="n">
        <v>1.225</v>
      </c>
      <c r="E11" s="2" t="n">
        <v>100</v>
      </c>
      <c r="F11" s="2" t="n">
        <v>5</v>
      </c>
      <c r="G11" s="2" t="n">
        <v>0.4</v>
      </c>
      <c r="H11" s="2" t="n">
        <v>0.9</v>
      </c>
      <c r="I11" s="2" t="n">
        <f aca="false">0.5*D11*E11*(B11^3)*G11*H11*F11/1000</f>
        <v>28.901376</v>
      </c>
      <c r="J11" s="10"/>
      <c r="K11" s="14"/>
    </row>
    <row r="12" customFormat="false" ht="15" hidden="false" customHeight="false" outlineLevel="0" collapsed="false">
      <c r="A12" s="9" t="n">
        <v>0.375</v>
      </c>
      <c r="B12" s="10" t="n">
        <v>6.7</v>
      </c>
      <c r="C12" s="2" t="n">
        <v>10</v>
      </c>
      <c r="D12" s="2" t="n">
        <v>1.225</v>
      </c>
      <c r="E12" s="2" t="n">
        <v>100</v>
      </c>
      <c r="F12" s="2" t="n">
        <v>5</v>
      </c>
      <c r="G12" s="2" t="n">
        <v>0.4</v>
      </c>
      <c r="H12" s="2" t="n">
        <v>0.9</v>
      </c>
      <c r="I12" s="2" t="n">
        <f aca="false">0.5*D12*E12*(B12^3)*G12*H12*F12/1000</f>
        <v>33.15912075</v>
      </c>
      <c r="J12" s="10"/>
      <c r="K12" s="14"/>
    </row>
    <row r="13" customFormat="false" ht="15" hidden="false" customHeight="false" outlineLevel="0" collapsed="false">
      <c r="A13" s="9" t="n">
        <v>0.416666666666667</v>
      </c>
      <c r="B13" s="10" t="n">
        <v>6.9</v>
      </c>
      <c r="C13" s="2" t="n">
        <v>15</v>
      </c>
      <c r="D13" s="2" t="n">
        <v>1.225</v>
      </c>
      <c r="E13" s="2" t="n">
        <v>100</v>
      </c>
      <c r="F13" s="2" t="n">
        <v>5</v>
      </c>
      <c r="G13" s="2" t="n">
        <v>0.4</v>
      </c>
      <c r="H13" s="2" t="n">
        <v>0.9</v>
      </c>
      <c r="I13" s="2" t="n">
        <f aca="false">0.5*D13*E13*(B13^3)*G13*H13*F13/1000</f>
        <v>36.21811725</v>
      </c>
      <c r="J13" s="10"/>
      <c r="K13" s="14"/>
    </row>
    <row r="14" customFormat="false" ht="15" hidden="false" customHeight="false" outlineLevel="0" collapsed="false">
      <c r="A14" s="9" t="n">
        <v>0.458333333333333</v>
      </c>
      <c r="B14" s="10" t="n">
        <v>7</v>
      </c>
      <c r="C14" s="2" t="n">
        <v>20</v>
      </c>
      <c r="D14" s="2" t="n">
        <v>1.225</v>
      </c>
      <c r="E14" s="2" t="n">
        <v>100</v>
      </c>
      <c r="F14" s="2" t="n">
        <v>5</v>
      </c>
      <c r="G14" s="2" t="n">
        <v>0.4</v>
      </c>
      <c r="H14" s="2" t="n">
        <v>0.9</v>
      </c>
      <c r="I14" s="2" t="n">
        <f aca="false">0.5*D14*E14*(B14^3)*G14*H14*F14/1000</f>
        <v>37.81575</v>
      </c>
      <c r="J14" s="10"/>
      <c r="K14" s="14"/>
    </row>
    <row r="15" customFormat="false" ht="15" hidden="false" customHeight="false" outlineLevel="0" collapsed="false">
      <c r="A15" s="9" t="n">
        <v>0.5</v>
      </c>
      <c r="B15" s="10" t="n">
        <v>6.8</v>
      </c>
      <c r="C15" s="2" t="n">
        <v>23</v>
      </c>
      <c r="D15" s="2" t="n">
        <v>1.225</v>
      </c>
      <c r="E15" s="2" t="n">
        <v>100</v>
      </c>
      <c r="F15" s="2" t="n">
        <v>5</v>
      </c>
      <c r="G15" s="2" t="n">
        <v>0.4</v>
      </c>
      <c r="H15" s="2" t="n">
        <v>0.9</v>
      </c>
      <c r="I15" s="2" t="n">
        <f aca="false">0.5*D15*E15*(B15^3)*G15*H15*F15/1000</f>
        <v>34.666128</v>
      </c>
      <c r="J15" s="10"/>
      <c r="K15" s="14"/>
    </row>
    <row r="16" customFormat="false" ht="15" hidden="false" customHeight="false" outlineLevel="0" collapsed="false">
      <c r="A16" s="9" t="n">
        <v>0.541666666666667</v>
      </c>
      <c r="B16" s="10" t="n">
        <v>6.5</v>
      </c>
      <c r="C16" s="2" t="n">
        <v>24</v>
      </c>
      <c r="D16" s="2" t="n">
        <v>1.225</v>
      </c>
      <c r="E16" s="2" t="n">
        <v>100</v>
      </c>
      <c r="F16" s="2" t="n">
        <v>5</v>
      </c>
      <c r="G16" s="2" t="n">
        <v>0.4</v>
      </c>
      <c r="H16" s="2" t="n">
        <v>0.9</v>
      </c>
      <c r="I16" s="2" t="n">
        <f aca="false">0.5*D16*E16*(B16^3)*G16*H16*F16/1000</f>
        <v>30.27740625</v>
      </c>
      <c r="J16" s="10"/>
      <c r="K16" s="14"/>
    </row>
    <row r="17" customFormat="false" ht="15" hidden="false" customHeight="false" outlineLevel="0" collapsed="false">
      <c r="A17" s="9" t="n">
        <v>0.583333333333333</v>
      </c>
      <c r="B17" s="10" t="n">
        <v>6.2</v>
      </c>
      <c r="C17" s="2" t="n">
        <v>23</v>
      </c>
      <c r="D17" s="2" t="n">
        <v>1.225</v>
      </c>
      <c r="E17" s="2" t="n">
        <v>100</v>
      </c>
      <c r="F17" s="2" t="n">
        <v>5</v>
      </c>
      <c r="G17" s="2" t="n">
        <v>0.4</v>
      </c>
      <c r="H17" s="2" t="n">
        <v>0.9</v>
      </c>
      <c r="I17" s="2" t="n">
        <f aca="false">0.5*D17*E17*(B17^3)*G17*H17*F17/1000</f>
        <v>26.275662</v>
      </c>
      <c r="J17" s="10"/>
      <c r="K17" s="14"/>
    </row>
    <row r="18" customFormat="false" ht="15" hidden="false" customHeight="false" outlineLevel="0" collapsed="false">
      <c r="A18" s="9" t="n">
        <v>0.625</v>
      </c>
      <c r="B18" s="10" t="n">
        <v>5.9</v>
      </c>
      <c r="C18" s="2" t="n">
        <v>20</v>
      </c>
      <c r="D18" s="2" t="n">
        <v>1.225</v>
      </c>
      <c r="E18" s="2" t="n">
        <v>100</v>
      </c>
      <c r="F18" s="2" t="n">
        <v>5</v>
      </c>
      <c r="G18" s="2" t="n">
        <v>0.4</v>
      </c>
      <c r="H18" s="2" t="n">
        <v>0.9</v>
      </c>
      <c r="I18" s="2" t="n">
        <f aca="false">0.5*D18*E18*(B18^3)*G18*H18*F18/1000</f>
        <v>22.64303475</v>
      </c>
      <c r="J18" s="10"/>
      <c r="K18" s="14"/>
    </row>
    <row r="19" customFormat="false" ht="15" hidden="false" customHeight="false" outlineLevel="0" collapsed="false">
      <c r="A19" s="9" t="n">
        <v>0.666666666666667</v>
      </c>
      <c r="B19" s="10" t="n">
        <v>5.6</v>
      </c>
      <c r="C19" s="2" t="n">
        <v>16</v>
      </c>
      <c r="D19" s="2" t="n">
        <v>1.225</v>
      </c>
      <c r="E19" s="2" t="n">
        <v>100</v>
      </c>
      <c r="F19" s="2" t="n">
        <v>5</v>
      </c>
      <c r="G19" s="2" t="n">
        <v>0.4</v>
      </c>
      <c r="H19" s="2" t="n">
        <v>0.9</v>
      </c>
      <c r="I19" s="2" t="n">
        <f aca="false">0.5*D19*E19*(B19^3)*G19*H19*F19/1000</f>
        <v>19.361664</v>
      </c>
      <c r="J19" s="10"/>
      <c r="K19" s="14"/>
    </row>
    <row r="20" customFormat="false" ht="15" hidden="false" customHeight="false" outlineLevel="0" collapsed="false">
      <c r="A20" s="9" t="n">
        <v>0.708333333333333</v>
      </c>
      <c r="B20" s="10" t="n">
        <v>5.3</v>
      </c>
      <c r="C20" s="2" t="n">
        <v>12</v>
      </c>
      <c r="D20" s="2" t="n">
        <v>1.225</v>
      </c>
      <c r="E20" s="2" t="n">
        <v>100</v>
      </c>
      <c r="F20" s="2" t="n">
        <v>5</v>
      </c>
      <c r="G20" s="2" t="n">
        <v>0.4</v>
      </c>
      <c r="H20" s="2" t="n">
        <v>0.9</v>
      </c>
      <c r="I20" s="2" t="n">
        <f aca="false">0.5*D20*E20*(B20^3)*G20*H20*F20/1000</f>
        <v>16.41368925</v>
      </c>
      <c r="J20" s="10"/>
      <c r="K20" s="14"/>
    </row>
    <row r="21" customFormat="false" ht="15" hidden="false" customHeight="false" outlineLevel="0" collapsed="false">
      <c r="A21" s="9" t="n">
        <v>0.75</v>
      </c>
      <c r="B21" s="10" t="n">
        <v>5</v>
      </c>
      <c r="C21" s="2" t="n">
        <v>10</v>
      </c>
      <c r="D21" s="2" t="n">
        <v>1.225</v>
      </c>
      <c r="E21" s="2" t="n">
        <v>100</v>
      </c>
      <c r="F21" s="2" t="n">
        <v>5</v>
      </c>
      <c r="G21" s="2" t="n">
        <v>0.4</v>
      </c>
      <c r="H21" s="2" t="n">
        <v>0.9</v>
      </c>
      <c r="I21" s="2" t="n">
        <f aca="false">0.5*D21*E21*(B21^3)*G21*H21*F21/1000</f>
        <v>13.78125</v>
      </c>
      <c r="J21" s="10"/>
      <c r="K21" s="14"/>
    </row>
    <row r="22" customFormat="false" ht="15" hidden="false" customHeight="false" outlineLevel="0" collapsed="false">
      <c r="A22" s="9" t="n">
        <v>0.791666666666667</v>
      </c>
      <c r="B22" s="10" t="n">
        <v>4.7</v>
      </c>
      <c r="C22" s="2" t="n">
        <v>7</v>
      </c>
      <c r="D22" s="2" t="n">
        <v>1.225</v>
      </c>
      <c r="E22" s="2" t="n">
        <v>100</v>
      </c>
      <c r="F22" s="2" t="n">
        <v>5</v>
      </c>
      <c r="G22" s="2" t="n">
        <v>0.4</v>
      </c>
      <c r="H22" s="2" t="n">
        <v>0.9</v>
      </c>
      <c r="I22" s="2" t="n">
        <f aca="false">0.5*D22*E22*(B22^3)*G22*H22*F22/1000</f>
        <v>11.44648575</v>
      </c>
      <c r="J22" s="10"/>
      <c r="K22" s="14"/>
    </row>
    <row r="23" customFormat="false" ht="15" hidden="false" customHeight="false" outlineLevel="0" collapsed="false">
      <c r="A23" s="9" t="n">
        <v>0.833333333333333</v>
      </c>
      <c r="B23" s="10" t="n">
        <v>4.5</v>
      </c>
      <c r="C23" s="2" t="n">
        <v>6</v>
      </c>
      <c r="D23" s="2" t="n">
        <v>1.225</v>
      </c>
      <c r="E23" s="2" t="n">
        <v>100</v>
      </c>
      <c r="F23" s="2" t="n">
        <v>5</v>
      </c>
      <c r="G23" s="2" t="n">
        <v>0.4</v>
      </c>
      <c r="H23" s="2" t="n">
        <v>0.9</v>
      </c>
      <c r="I23" s="2" t="n">
        <f aca="false">0.5*D23*E23*(B23^3)*G23*H23*F23/1000</f>
        <v>10.04653125</v>
      </c>
      <c r="J23" s="10"/>
      <c r="K23" s="14"/>
    </row>
    <row r="24" customFormat="false" ht="15" hidden="false" customHeight="false" outlineLevel="0" collapsed="false">
      <c r="A24" s="9" t="n">
        <v>0.875</v>
      </c>
      <c r="B24" s="10" t="n">
        <v>4.3</v>
      </c>
      <c r="C24" s="2" t="n">
        <v>5</v>
      </c>
      <c r="D24" s="2" t="n">
        <v>1.225</v>
      </c>
      <c r="E24" s="2" t="n">
        <v>100</v>
      </c>
      <c r="F24" s="2" t="n">
        <v>5</v>
      </c>
      <c r="G24" s="2" t="n">
        <v>0.4</v>
      </c>
      <c r="H24" s="2" t="n">
        <v>0.9</v>
      </c>
      <c r="I24" s="2" t="n">
        <f aca="false">0.5*D24*E24*(B24^3)*G24*H24*F24/1000</f>
        <v>8.76564675</v>
      </c>
      <c r="J24" s="10"/>
      <c r="K24" s="14"/>
    </row>
    <row r="25" customFormat="false" ht="15" hidden="false" customHeight="false" outlineLevel="0" collapsed="false">
      <c r="A25" s="9" t="n">
        <v>0.916666666666667</v>
      </c>
      <c r="B25" s="10" t="n">
        <v>4.1</v>
      </c>
      <c r="C25" s="2" t="n">
        <v>5</v>
      </c>
      <c r="D25" s="2" t="n">
        <v>1.225</v>
      </c>
      <c r="E25" s="2" t="n">
        <v>100</v>
      </c>
      <c r="F25" s="2" t="n">
        <v>5</v>
      </c>
      <c r="G25" s="2" t="n">
        <v>0.4</v>
      </c>
      <c r="H25" s="2" t="n">
        <v>0.9</v>
      </c>
      <c r="I25" s="2" t="n">
        <f aca="false">0.5*D25*E25*(B25^3)*G25*H25*F25/1000</f>
        <v>7.59854025</v>
      </c>
      <c r="J25" s="10"/>
      <c r="K25" s="14"/>
    </row>
    <row r="26" customFormat="false" ht="15" hidden="false" customHeight="false" outlineLevel="0" collapsed="false">
      <c r="A26" s="9" t="n">
        <v>0.958333333333333</v>
      </c>
      <c r="B26" s="10" t="n">
        <v>4</v>
      </c>
      <c r="C26" s="2" t="n">
        <v>4</v>
      </c>
      <c r="D26" s="2" t="n">
        <v>1.225</v>
      </c>
      <c r="E26" s="2" t="n">
        <v>100</v>
      </c>
      <c r="F26" s="2" t="n">
        <v>5</v>
      </c>
      <c r="G26" s="2" t="n">
        <v>0.4</v>
      </c>
      <c r="H26" s="2" t="n">
        <v>0.9</v>
      </c>
      <c r="I26" s="2" t="n">
        <f aca="false">0.5*D26*E26*(B26^3)*G26*H26*F26/1000</f>
        <v>7.056</v>
      </c>
      <c r="J26" s="10"/>
      <c r="K26" s="14"/>
    </row>
    <row r="27" customFormat="false" ht="15" hidden="false" customHeight="false" outlineLevel="0" collapsed="false">
      <c r="I27" s="11" t="n">
        <f aca="false">SUM(I3:I26)</f>
        <v>464.33077425</v>
      </c>
      <c r="J27" s="11"/>
      <c r="K27" s="14"/>
    </row>
    <row r="28" customFormat="false" ht="15" hidden="false" customHeight="false" outlineLevel="0" collapsed="false">
      <c r="J28" s="14"/>
      <c r="K28" s="14"/>
    </row>
    <row r="29" customFormat="false" ht="15" hidden="false" customHeight="false" outlineLevel="0" collapsed="false">
      <c r="B29" s="11" t="n">
        <f aca="false">SUM(B3:B26)*30/1000</f>
        <v>3.909</v>
      </c>
      <c r="I29" s="4" t="s">
        <v>9</v>
      </c>
      <c r="J29" s="11" t="n">
        <f aca="false">I27*30*0.9</f>
        <v>12536.93090475</v>
      </c>
      <c r="K29" s="14"/>
    </row>
    <row r="30" customFormat="false" ht="15" hidden="false" customHeight="false" outlineLevel="0" collapsed="false">
      <c r="B30" s="12" t="n">
        <f aca="false">B29*30</f>
        <v>117.27</v>
      </c>
      <c r="J30" s="14"/>
      <c r="K30" s="14"/>
    </row>
    <row r="31" customFormat="false" ht="15" hidden="false" customHeight="false" outlineLevel="0" collapsed="false">
      <c r="B31" s="1" t="n">
        <v>4354</v>
      </c>
      <c r="C31" s="1" t="s">
        <v>10</v>
      </c>
      <c r="J31" s="14"/>
      <c r="K31" s="14"/>
    </row>
    <row r="32" customFormat="false" ht="13.8" hidden="false" customHeight="false" outlineLevel="0" collapsed="false">
      <c r="J32" s="14"/>
      <c r="K32" s="14"/>
    </row>
    <row r="33" customFormat="false" ht="13.8" hidden="false" customHeight="false" outlineLevel="0" collapsed="false">
      <c r="J33" s="14"/>
      <c r="K33" s="14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2:K3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F3" activeCellId="0" sqref="F3"/>
    </sheetView>
  </sheetViews>
  <sheetFormatPr defaultColWidth="8.54296875" defaultRowHeight="15" customHeight="false" zeroHeight="false" outlineLevelRow="0" outlineLevelCol="0"/>
  <cols>
    <col collapsed="false" customWidth="true" hidden="false" outlineLevel="0" max="1" min="1" style="1" width="5.57"/>
    <col collapsed="false" customWidth="true" hidden="false" outlineLevel="0" max="2" min="2" style="1" width="14.21"/>
    <col collapsed="false" customWidth="true" hidden="false" outlineLevel="0" max="3" min="3" style="1" width="10.71"/>
    <col collapsed="false" customWidth="true" hidden="false" outlineLevel="0" max="4" min="4" style="1" width="15.42"/>
    <col collapsed="false" customWidth="true" hidden="false" outlineLevel="0" max="5" min="5" style="1" width="12.42"/>
    <col collapsed="false" customWidth="true" hidden="false" outlineLevel="0" max="6" min="6" style="1" width="11.71"/>
    <col collapsed="false" customWidth="true" hidden="false" outlineLevel="0" max="7" min="7" style="2" width="15"/>
    <col collapsed="false" customWidth="true" hidden="false" outlineLevel="0" max="8" min="8" style="2" width="11.71"/>
    <col collapsed="false" customWidth="true" hidden="false" outlineLevel="0" max="9" min="9" style="2" width="16.94"/>
    <col collapsed="false" customWidth="true" hidden="false" outlineLevel="0" max="10" min="10" style="2" width="16"/>
    <col collapsed="false" customWidth="true" hidden="false" outlineLevel="0" max="11" min="11" style="2" width="14.42"/>
    <col collapsed="false" customWidth="true" hidden="false" outlineLevel="0" max="12" min="12" style="2" width="8.86"/>
  </cols>
  <sheetData>
    <row r="2" customFormat="false" ht="24.05" hidden="false" customHeight="false" outlineLevel="0" collapsed="false">
      <c r="A2" s="4" t="s">
        <v>0</v>
      </c>
      <c r="B2" s="4" t="s">
        <v>1</v>
      </c>
      <c r="C2" s="5" t="s">
        <v>2</v>
      </c>
      <c r="D2" s="6" t="s">
        <v>3</v>
      </c>
      <c r="E2" s="6" t="s">
        <v>4</v>
      </c>
      <c r="F2" s="4" t="s">
        <v>5</v>
      </c>
      <c r="G2" s="7" t="s">
        <v>6</v>
      </c>
      <c r="H2" s="6" t="s">
        <v>7</v>
      </c>
      <c r="I2" s="8" t="s">
        <v>8</v>
      </c>
      <c r="J2" s="4"/>
      <c r="K2" s="4"/>
    </row>
    <row r="3" customFormat="false" ht="15" hidden="false" customHeight="false" outlineLevel="0" collapsed="false">
      <c r="A3" s="9" t="n">
        <v>0</v>
      </c>
      <c r="B3" s="10" t="n">
        <v>4.5</v>
      </c>
      <c r="C3" s="2" t="n">
        <v>4</v>
      </c>
      <c r="D3" s="2" t="n">
        <v>1.225</v>
      </c>
      <c r="E3" s="2" t="n">
        <v>100</v>
      </c>
      <c r="F3" s="2" t="n">
        <v>5</v>
      </c>
      <c r="G3" s="2" t="n">
        <v>0.4</v>
      </c>
      <c r="H3" s="2" t="n">
        <v>0.9</v>
      </c>
      <c r="I3" s="2" t="n">
        <f aca="false">0.5*D3*E3*(B3^3)*G3*H3*F3/1000</f>
        <v>10.04653125</v>
      </c>
      <c r="J3" s="10"/>
      <c r="K3" s="14"/>
    </row>
    <row r="4" customFormat="false" ht="15" hidden="false" customHeight="false" outlineLevel="0" collapsed="false">
      <c r="A4" s="9" t="n">
        <v>0.0416666666666667</v>
      </c>
      <c r="B4" s="10" t="n">
        <v>4.8</v>
      </c>
      <c r="C4" s="2" t="n">
        <v>4</v>
      </c>
      <c r="D4" s="2" t="n">
        <v>1.225</v>
      </c>
      <c r="E4" s="2" t="n">
        <v>100</v>
      </c>
      <c r="F4" s="2" t="n">
        <v>5</v>
      </c>
      <c r="G4" s="2" t="n">
        <v>0.4</v>
      </c>
      <c r="H4" s="2" t="n">
        <v>0.9</v>
      </c>
      <c r="I4" s="2" t="n">
        <f aca="false">0.5*D4*E4*(B4^3)*G4*H4*F4/1000</f>
        <v>12.192768</v>
      </c>
      <c r="J4" s="10"/>
      <c r="K4" s="14"/>
    </row>
    <row r="5" customFormat="false" ht="15" hidden="false" customHeight="false" outlineLevel="0" collapsed="false">
      <c r="A5" s="9" t="n">
        <v>0.0833333333333333</v>
      </c>
      <c r="B5" s="10" t="n">
        <v>5.1</v>
      </c>
      <c r="C5" s="2" t="n">
        <v>3</v>
      </c>
      <c r="D5" s="2" t="n">
        <v>1.225</v>
      </c>
      <c r="E5" s="2" t="n">
        <v>100</v>
      </c>
      <c r="F5" s="2" t="n">
        <v>5</v>
      </c>
      <c r="G5" s="2" t="n">
        <v>0.4</v>
      </c>
      <c r="H5" s="2" t="n">
        <v>0.9</v>
      </c>
      <c r="I5" s="2" t="n">
        <f aca="false">0.5*D5*E5*(B5^3)*G5*H5*F5/1000</f>
        <v>14.62477275</v>
      </c>
      <c r="J5" s="10"/>
      <c r="K5" s="14"/>
    </row>
    <row r="6" customFormat="false" ht="15" hidden="false" customHeight="false" outlineLevel="0" collapsed="false">
      <c r="A6" s="9" t="n">
        <v>0.125</v>
      </c>
      <c r="B6" s="10" t="n">
        <v>5.4</v>
      </c>
      <c r="C6" s="2" t="n">
        <v>3</v>
      </c>
      <c r="D6" s="2" t="n">
        <v>1.225</v>
      </c>
      <c r="E6" s="2" t="n">
        <v>100</v>
      </c>
      <c r="F6" s="2" t="n">
        <v>5</v>
      </c>
      <c r="G6" s="2" t="n">
        <v>0.4</v>
      </c>
      <c r="H6" s="2" t="n">
        <v>0.9</v>
      </c>
      <c r="I6" s="2" t="n">
        <f aca="false">0.5*D6*E6*(B6^3)*G6*H6*F6/1000</f>
        <v>17.360406</v>
      </c>
      <c r="J6" s="10"/>
      <c r="K6" s="14"/>
    </row>
    <row r="7" customFormat="false" ht="15" hidden="false" customHeight="false" outlineLevel="0" collapsed="false">
      <c r="A7" s="9" t="n">
        <v>0.166666666666667</v>
      </c>
      <c r="B7" s="10" t="n">
        <v>5.7</v>
      </c>
      <c r="C7" s="2" t="n">
        <v>3</v>
      </c>
      <c r="D7" s="2" t="n">
        <v>1.225</v>
      </c>
      <c r="E7" s="2" t="n">
        <v>100</v>
      </c>
      <c r="F7" s="2" t="n">
        <v>5</v>
      </c>
      <c r="G7" s="2" t="n">
        <v>0.4</v>
      </c>
      <c r="H7" s="2" t="n">
        <v>0.9</v>
      </c>
      <c r="I7" s="2" t="n">
        <f aca="false">0.5*D7*E7*(B7^3)*G7*H7*F7/1000</f>
        <v>20.41752825</v>
      </c>
      <c r="J7" s="10"/>
      <c r="K7" s="14"/>
    </row>
    <row r="8" customFormat="false" ht="15" hidden="false" customHeight="false" outlineLevel="0" collapsed="false">
      <c r="A8" s="9" t="n">
        <v>0.208333333333333</v>
      </c>
      <c r="B8" s="10" t="n">
        <v>6</v>
      </c>
      <c r="C8" s="2" t="n">
        <v>4</v>
      </c>
      <c r="D8" s="2" t="n">
        <v>1.225</v>
      </c>
      <c r="E8" s="2" t="n">
        <v>100</v>
      </c>
      <c r="F8" s="2" t="n">
        <v>5</v>
      </c>
      <c r="G8" s="2" t="n">
        <v>0.4</v>
      </c>
      <c r="H8" s="2" t="n">
        <v>0.9</v>
      </c>
      <c r="I8" s="2" t="n">
        <f aca="false">0.5*D8*E8*(B8^3)*G8*H8*F8/1000</f>
        <v>23.814</v>
      </c>
      <c r="J8" s="10"/>
      <c r="K8" s="14"/>
    </row>
    <row r="9" customFormat="false" ht="15" hidden="false" customHeight="false" outlineLevel="0" collapsed="false">
      <c r="A9" s="9" t="n">
        <v>0.25</v>
      </c>
      <c r="B9" s="10" t="n">
        <v>6.3</v>
      </c>
      <c r="C9" s="2" t="n">
        <v>4</v>
      </c>
      <c r="D9" s="2" t="n">
        <v>1.225</v>
      </c>
      <c r="E9" s="2" t="n">
        <v>100</v>
      </c>
      <c r="F9" s="2" t="n">
        <v>5</v>
      </c>
      <c r="G9" s="2" t="n">
        <v>0.4</v>
      </c>
      <c r="H9" s="2" t="n">
        <v>0.9</v>
      </c>
      <c r="I9" s="2" t="n">
        <f aca="false">0.5*D9*E9*(B9^3)*G9*H9*F9/1000</f>
        <v>27.56768175</v>
      </c>
      <c r="J9" s="10"/>
      <c r="K9" s="14"/>
    </row>
    <row r="10" customFormat="false" ht="15" hidden="false" customHeight="false" outlineLevel="0" collapsed="false">
      <c r="A10" s="9" t="n">
        <v>0.291666666666667</v>
      </c>
      <c r="B10" s="10" t="n">
        <v>6.6</v>
      </c>
      <c r="C10" s="2" t="n">
        <v>5</v>
      </c>
      <c r="D10" s="2" t="n">
        <v>1.225</v>
      </c>
      <c r="E10" s="2" t="n">
        <v>100</v>
      </c>
      <c r="F10" s="2" t="n">
        <v>5</v>
      </c>
      <c r="G10" s="2" t="n">
        <v>0.4</v>
      </c>
      <c r="H10" s="2" t="n">
        <v>0.9</v>
      </c>
      <c r="I10" s="2" t="n">
        <f aca="false">0.5*D10*E10*(B10^3)*G10*H10*F10/1000</f>
        <v>31.696434</v>
      </c>
      <c r="J10" s="10"/>
      <c r="K10" s="14"/>
    </row>
    <row r="11" customFormat="false" ht="15" hidden="false" customHeight="false" outlineLevel="0" collapsed="false">
      <c r="A11" s="9" t="n">
        <v>0.333333333333333</v>
      </c>
      <c r="B11" s="10" t="n">
        <v>6.9</v>
      </c>
      <c r="C11" s="2" t="n">
        <v>7</v>
      </c>
      <c r="D11" s="2" t="n">
        <v>1.225</v>
      </c>
      <c r="E11" s="2" t="n">
        <v>100</v>
      </c>
      <c r="F11" s="2" t="n">
        <v>5</v>
      </c>
      <c r="G11" s="2" t="n">
        <v>0.4</v>
      </c>
      <c r="H11" s="2" t="n">
        <v>0.9</v>
      </c>
      <c r="I11" s="2" t="n">
        <f aca="false">0.5*D11*E11*(B11^3)*G11*H11*F11/1000</f>
        <v>36.21811725</v>
      </c>
      <c r="J11" s="10"/>
      <c r="K11" s="14"/>
    </row>
    <row r="12" customFormat="false" ht="15" hidden="false" customHeight="false" outlineLevel="0" collapsed="false">
      <c r="A12" s="9" t="n">
        <v>0.375</v>
      </c>
      <c r="B12" s="10" t="n">
        <v>7.2</v>
      </c>
      <c r="C12" s="2" t="n">
        <v>10</v>
      </c>
      <c r="D12" s="2" t="n">
        <v>1.225</v>
      </c>
      <c r="E12" s="2" t="n">
        <v>100</v>
      </c>
      <c r="F12" s="2" t="n">
        <v>5</v>
      </c>
      <c r="G12" s="2" t="n">
        <v>0.4</v>
      </c>
      <c r="H12" s="2" t="n">
        <v>0.9</v>
      </c>
      <c r="I12" s="2" t="n">
        <f aca="false">0.5*D12*E12*(B12^3)*G12*H12*F12/1000</f>
        <v>41.150592</v>
      </c>
      <c r="J12" s="10"/>
      <c r="K12" s="14"/>
    </row>
    <row r="13" customFormat="false" ht="15" hidden="false" customHeight="false" outlineLevel="0" collapsed="false">
      <c r="A13" s="9" t="n">
        <v>0.416666666666667</v>
      </c>
      <c r="B13" s="10" t="n">
        <v>7.4</v>
      </c>
      <c r="C13" s="2" t="n">
        <v>15</v>
      </c>
      <c r="D13" s="2" t="n">
        <v>1.225</v>
      </c>
      <c r="E13" s="2" t="n">
        <v>100</v>
      </c>
      <c r="F13" s="2" t="n">
        <v>5</v>
      </c>
      <c r="G13" s="2" t="n">
        <v>0.4</v>
      </c>
      <c r="H13" s="2" t="n">
        <v>0.9</v>
      </c>
      <c r="I13" s="2" t="n">
        <f aca="false">0.5*D13*E13*(B13^3)*G13*H13*F13/1000</f>
        <v>44.675946</v>
      </c>
      <c r="J13" s="10"/>
      <c r="K13" s="14"/>
    </row>
    <row r="14" customFormat="false" ht="15" hidden="false" customHeight="false" outlineLevel="0" collapsed="false">
      <c r="A14" s="9" t="n">
        <v>0.458333333333333</v>
      </c>
      <c r="B14" s="10" t="n">
        <v>7.5</v>
      </c>
      <c r="C14" s="2" t="n">
        <v>20</v>
      </c>
      <c r="D14" s="2" t="n">
        <v>1.225</v>
      </c>
      <c r="E14" s="2" t="n">
        <v>100</v>
      </c>
      <c r="F14" s="2" t="n">
        <v>5</v>
      </c>
      <c r="G14" s="2" t="n">
        <v>0.4</v>
      </c>
      <c r="H14" s="2" t="n">
        <v>0.9</v>
      </c>
      <c r="I14" s="2" t="n">
        <f aca="false">0.5*D14*E14*(B14^3)*G14*H14*F14/1000</f>
        <v>46.51171875</v>
      </c>
      <c r="J14" s="10"/>
      <c r="K14" s="14"/>
    </row>
    <row r="15" customFormat="false" ht="15" hidden="false" customHeight="false" outlineLevel="0" collapsed="false">
      <c r="A15" s="9" t="n">
        <v>0.5</v>
      </c>
      <c r="B15" s="10" t="n">
        <v>7.3</v>
      </c>
      <c r="C15" s="2" t="n">
        <v>23</v>
      </c>
      <c r="D15" s="2" t="n">
        <v>1.225</v>
      </c>
      <c r="E15" s="2" t="n">
        <v>100</v>
      </c>
      <c r="F15" s="2" t="n">
        <v>5</v>
      </c>
      <c r="G15" s="2" t="n">
        <v>0.4</v>
      </c>
      <c r="H15" s="2" t="n">
        <v>0.9</v>
      </c>
      <c r="I15" s="2" t="n">
        <f aca="false">0.5*D15*E15*(B15^3)*G15*H15*F15/1000</f>
        <v>42.88912425</v>
      </c>
      <c r="J15" s="10"/>
      <c r="K15" s="14"/>
    </row>
    <row r="16" customFormat="false" ht="15" hidden="false" customHeight="false" outlineLevel="0" collapsed="false">
      <c r="A16" s="9" t="n">
        <v>0.541666666666667</v>
      </c>
      <c r="B16" s="10" t="n">
        <v>7</v>
      </c>
      <c r="C16" s="2" t="n">
        <v>24</v>
      </c>
      <c r="D16" s="2" t="n">
        <v>1.225</v>
      </c>
      <c r="E16" s="2" t="n">
        <v>100</v>
      </c>
      <c r="F16" s="2" t="n">
        <v>5</v>
      </c>
      <c r="G16" s="2" t="n">
        <v>0.4</v>
      </c>
      <c r="H16" s="2" t="n">
        <v>0.9</v>
      </c>
      <c r="I16" s="2" t="n">
        <f aca="false">0.5*D16*E16*(B16^3)*G16*H16*F16/1000</f>
        <v>37.81575</v>
      </c>
      <c r="J16" s="10"/>
      <c r="K16" s="14"/>
    </row>
    <row r="17" customFormat="false" ht="15" hidden="false" customHeight="false" outlineLevel="0" collapsed="false">
      <c r="A17" s="9" t="n">
        <v>0.583333333333333</v>
      </c>
      <c r="B17" s="10" t="n">
        <v>6.7</v>
      </c>
      <c r="C17" s="2" t="n">
        <v>23</v>
      </c>
      <c r="D17" s="2" t="n">
        <v>1.225</v>
      </c>
      <c r="E17" s="2" t="n">
        <v>100</v>
      </c>
      <c r="F17" s="2" t="n">
        <v>5</v>
      </c>
      <c r="G17" s="2" t="n">
        <v>0.4</v>
      </c>
      <c r="H17" s="2" t="n">
        <v>0.9</v>
      </c>
      <c r="I17" s="2" t="n">
        <f aca="false">0.5*D17*E17*(B17^3)*G17*H17*F17/1000</f>
        <v>33.15912075</v>
      </c>
      <c r="J17" s="10"/>
      <c r="K17" s="14"/>
    </row>
    <row r="18" customFormat="false" ht="15" hidden="false" customHeight="false" outlineLevel="0" collapsed="false">
      <c r="A18" s="9" t="n">
        <v>0.625</v>
      </c>
      <c r="B18" s="10" t="n">
        <v>6.4</v>
      </c>
      <c r="C18" s="2" t="n">
        <v>20</v>
      </c>
      <c r="D18" s="2" t="n">
        <v>1.225</v>
      </c>
      <c r="E18" s="2" t="n">
        <v>100</v>
      </c>
      <c r="F18" s="2" t="n">
        <v>5</v>
      </c>
      <c r="G18" s="2" t="n">
        <v>0.4</v>
      </c>
      <c r="H18" s="2" t="n">
        <v>0.9</v>
      </c>
      <c r="I18" s="2" t="n">
        <f aca="false">0.5*D18*E18*(B18^3)*G18*H18*F18/1000</f>
        <v>28.901376</v>
      </c>
      <c r="J18" s="10"/>
      <c r="K18" s="14"/>
    </row>
    <row r="19" customFormat="false" ht="15" hidden="false" customHeight="false" outlineLevel="0" collapsed="false">
      <c r="A19" s="9" t="n">
        <v>0.666666666666667</v>
      </c>
      <c r="B19" s="10" t="n">
        <v>6.1</v>
      </c>
      <c r="C19" s="2" t="n">
        <v>16</v>
      </c>
      <c r="D19" s="2" t="n">
        <v>1.225</v>
      </c>
      <c r="E19" s="2" t="n">
        <v>100</v>
      </c>
      <c r="F19" s="2" t="n">
        <v>5</v>
      </c>
      <c r="G19" s="2" t="n">
        <v>0.4</v>
      </c>
      <c r="H19" s="2" t="n">
        <v>0.9</v>
      </c>
      <c r="I19" s="2" t="n">
        <f aca="false">0.5*D19*E19*(B19^3)*G19*H19*F19/1000</f>
        <v>25.02465525</v>
      </c>
      <c r="J19" s="10"/>
      <c r="K19" s="14"/>
    </row>
    <row r="20" customFormat="false" ht="15" hidden="false" customHeight="false" outlineLevel="0" collapsed="false">
      <c r="A20" s="9" t="n">
        <v>0.708333333333333</v>
      </c>
      <c r="B20" s="10" t="n">
        <v>5.8</v>
      </c>
      <c r="C20" s="2" t="n">
        <v>12</v>
      </c>
      <c r="D20" s="2" t="n">
        <v>1.225</v>
      </c>
      <c r="E20" s="2" t="n">
        <v>100</v>
      </c>
      <c r="F20" s="2" t="n">
        <v>5</v>
      </c>
      <c r="G20" s="2" t="n">
        <v>0.4</v>
      </c>
      <c r="H20" s="2" t="n">
        <v>0.9</v>
      </c>
      <c r="I20" s="2" t="n">
        <f aca="false">0.5*D20*E20*(B20^3)*G20*H20*F20/1000</f>
        <v>21.511098</v>
      </c>
      <c r="J20" s="10"/>
      <c r="K20" s="14"/>
    </row>
    <row r="21" customFormat="false" ht="15" hidden="false" customHeight="false" outlineLevel="0" collapsed="false">
      <c r="A21" s="9" t="n">
        <v>0.75</v>
      </c>
      <c r="B21" s="10" t="n">
        <v>5.5</v>
      </c>
      <c r="C21" s="2" t="n">
        <v>10</v>
      </c>
      <c r="D21" s="2" t="n">
        <v>1.225</v>
      </c>
      <c r="E21" s="2" t="n">
        <v>100</v>
      </c>
      <c r="F21" s="2" t="n">
        <v>5</v>
      </c>
      <c r="G21" s="2" t="n">
        <v>0.4</v>
      </c>
      <c r="H21" s="2" t="n">
        <v>0.9</v>
      </c>
      <c r="I21" s="2" t="n">
        <f aca="false">0.5*D21*E21*(B21^3)*G21*H21*F21/1000</f>
        <v>18.34284375</v>
      </c>
      <c r="J21" s="10"/>
      <c r="K21" s="14"/>
    </row>
    <row r="22" customFormat="false" ht="15" hidden="false" customHeight="false" outlineLevel="0" collapsed="false">
      <c r="A22" s="9" t="n">
        <v>0.791666666666667</v>
      </c>
      <c r="B22" s="10" t="n">
        <v>5.2</v>
      </c>
      <c r="C22" s="2" t="n">
        <v>7</v>
      </c>
      <c r="D22" s="2" t="n">
        <v>1.225</v>
      </c>
      <c r="E22" s="2" t="n">
        <v>100</v>
      </c>
      <c r="F22" s="2" t="n">
        <v>5</v>
      </c>
      <c r="G22" s="2" t="n">
        <v>0.4</v>
      </c>
      <c r="H22" s="2" t="n">
        <v>0.9</v>
      </c>
      <c r="I22" s="2" t="n">
        <f aca="false">0.5*D22*E22*(B22^3)*G22*H22*F22/1000</f>
        <v>15.502032</v>
      </c>
      <c r="J22" s="10"/>
      <c r="K22" s="14"/>
    </row>
    <row r="23" customFormat="false" ht="15" hidden="false" customHeight="false" outlineLevel="0" collapsed="false">
      <c r="A23" s="9" t="n">
        <v>0.833333333333333</v>
      </c>
      <c r="B23" s="10" t="n">
        <v>5</v>
      </c>
      <c r="C23" s="2" t="n">
        <v>6</v>
      </c>
      <c r="D23" s="2" t="n">
        <v>1.225</v>
      </c>
      <c r="E23" s="2" t="n">
        <v>100</v>
      </c>
      <c r="F23" s="2" t="n">
        <v>5</v>
      </c>
      <c r="G23" s="2" t="n">
        <v>0.4</v>
      </c>
      <c r="H23" s="2" t="n">
        <v>0.9</v>
      </c>
      <c r="I23" s="2" t="n">
        <f aca="false">0.5*D23*E23*(B23^3)*G23*H23*F23/1000</f>
        <v>13.78125</v>
      </c>
      <c r="J23" s="10"/>
      <c r="K23" s="14"/>
    </row>
    <row r="24" customFormat="false" ht="15" hidden="false" customHeight="false" outlineLevel="0" collapsed="false">
      <c r="A24" s="9" t="n">
        <v>0.875</v>
      </c>
      <c r="B24" s="10" t="n">
        <v>4.8</v>
      </c>
      <c r="C24" s="2" t="n">
        <v>5</v>
      </c>
      <c r="D24" s="2" t="n">
        <v>1.225</v>
      </c>
      <c r="E24" s="2" t="n">
        <v>100</v>
      </c>
      <c r="F24" s="2" t="n">
        <v>5</v>
      </c>
      <c r="G24" s="2" t="n">
        <v>0.4</v>
      </c>
      <c r="H24" s="2" t="n">
        <v>0.9</v>
      </c>
      <c r="I24" s="2" t="n">
        <f aca="false">0.5*D24*E24*(B24^3)*G24*H24*F24/1000</f>
        <v>12.192768</v>
      </c>
      <c r="J24" s="10"/>
      <c r="K24" s="14"/>
    </row>
    <row r="25" customFormat="false" ht="15" hidden="false" customHeight="false" outlineLevel="0" collapsed="false">
      <c r="A25" s="9" t="n">
        <v>0.916666666666667</v>
      </c>
      <c r="B25" s="10" t="n">
        <v>4.6</v>
      </c>
      <c r="C25" s="2" t="n">
        <v>5</v>
      </c>
      <c r="D25" s="2" t="n">
        <v>1.225</v>
      </c>
      <c r="E25" s="2" t="n">
        <v>100</v>
      </c>
      <c r="F25" s="2" t="n">
        <v>5</v>
      </c>
      <c r="G25" s="2" t="n">
        <v>0.4</v>
      </c>
      <c r="H25" s="2" t="n">
        <v>0.9</v>
      </c>
      <c r="I25" s="2" t="n">
        <f aca="false">0.5*D25*E25*(B25^3)*G25*H25*F25/1000</f>
        <v>10.731294</v>
      </c>
      <c r="J25" s="10"/>
      <c r="K25" s="14"/>
    </row>
    <row r="26" customFormat="false" ht="15" hidden="false" customHeight="false" outlineLevel="0" collapsed="false">
      <c r="A26" s="9" t="n">
        <v>0.958333333333333</v>
      </c>
      <c r="B26" s="10" t="n">
        <v>4.5</v>
      </c>
      <c r="C26" s="2" t="n">
        <v>4</v>
      </c>
      <c r="D26" s="2" t="n">
        <v>1.225</v>
      </c>
      <c r="E26" s="2" t="n">
        <v>100</v>
      </c>
      <c r="F26" s="2" t="n">
        <v>5</v>
      </c>
      <c r="G26" s="2" t="n">
        <v>0.4</v>
      </c>
      <c r="H26" s="2" t="n">
        <v>0.9</v>
      </c>
      <c r="I26" s="2" t="n">
        <f aca="false">0.5*D26*E26*(B26^3)*G26*H26*F26/1000</f>
        <v>10.04653125</v>
      </c>
      <c r="J26" s="10"/>
      <c r="K26" s="14"/>
    </row>
    <row r="27" customFormat="false" ht="15" hidden="false" customHeight="false" outlineLevel="0" collapsed="false">
      <c r="I27" s="11" t="n">
        <f aca="false">SUM(I3:I26)</f>
        <v>596.17433925</v>
      </c>
      <c r="J27" s="11"/>
      <c r="K27" s="14"/>
    </row>
    <row r="28" customFormat="false" ht="15" hidden="false" customHeight="false" outlineLevel="0" collapsed="false">
      <c r="J28" s="14"/>
      <c r="K28" s="14"/>
    </row>
    <row r="29" customFormat="false" ht="15" hidden="false" customHeight="false" outlineLevel="0" collapsed="false">
      <c r="B29" s="11" t="n">
        <f aca="false">SUM(B3:B26)*31/1000</f>
        <v>4.4113</v>
      </c>
      <c r="I29" s="4" t="s">
        <v>9</v>
      </c>
      <c r="J29" s="11" t="n">
        <f aca="false">I27*31*0.9</f>
        <v>16633.264065075</v>
      </c>
      <c r="K29" s="14"/>
    </row>
    <row r="30" customFormat="false" ht="15" hidden="false" customHeight="false" outlineLevel="0" collapsed="false">
      <c r="B30" s="12" t="n">
        <f aca="false">B29*31</f>
        <v>136.7503</v>
      </c>
      <c r="J30" s="14"/>
      <c r="K30" s="14"/>
    </row>
    <row r="31" customFormat="false" ht="15" hidden="false" customHeight="false" outlineLevel="0" collapsed="false">
      <c r="B31" s="1" t="n">
        <v>2851</v>
      </c>
      <c r="C31" s="1" t="s">
        <v>10</v>
      </c>
      <c r="J31" s="14"/>
      <c r="K31" s="14"/>
    </row>
    <row r="32" customFormat="false" ht="13.8" hidden="false" customHeight="false" outlineLevel="0" collapsed="false">
      <c r="J32" s="14"/>
      <c r="K32" s="14"/>
    </row>
    <row r="33" customFormat="false" ht="13.8" hidden="false" customHeight="false" outlineLevel="0" collapsed="false">
      <c r="J33" s="14"/>
      <c r="K33" s="14"/>
    </row>
    <row r="34" customFormat="false" ht="13.8" hidden="false" customHeight="false" outlineLevel="0" collapsed="false">
      <c r="J34" s="14"/>
      <c r="K34" s="14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2:P3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F3" activeCellId="0" sqref="F3"/>
    </sheetView>
  </sheetViews>
  <sheetFormatPr defaultColWidth="8.54296875" defaultRowHeight="15" customHeight="false" zeroHeight="false" outlineLevelRow="0" outlineLevelCol="0"/>
  <cols>
    <col collapsed="false" customWidth="true" hidden="false" outlineLevel="0" max="1" min="1" style="1" width="5.57"/>
    <col collapsed="false" customWidth="true" hidden="false" outlineLevel="0" max="2" min="2" style="1" width="15.72"/>
    <col collapsed="false" customWidth="true" hidden="false" outlineLevel="0" max="3" min="3" style="1" width="10.71"/>
    <col collapsed="false" customWidth="true" hidden="false" outlineLevel="0" max="4" min="4" style="1" width="15.42"/>
    <col collapsed="false" customWidth="true" hidden="false" outlineLevel="0" max="5" min="5" style="1" width="12.42"/>
    <col collapsed="false" customWidth="true" hidden="false" outlineLevel="0" max="6" min="6" style="1" width="11.71"/>
    <col collapsed="false" customWidth="true" hidden="false" outlineLevel="0" max="7" min="7" style="2" width="15"/>
    <col collapsed="false" customWidth="true" hidden="false" outlineLevel="0" max="8" min="8" style="2" width="11.71"/>
    <col collapsed="false" customWidth="true" hidden="false" outlineLevel="0" max="9" min="9" style="2" width="16.39"/>
    <col collapsed="false" customWidth="true" hidden="false" outlineLevel="0" max="10" min="10" style="2" width="16"/>
    <col collapsed="false" customWidth="true" hidden="false" outlineLevel="0" max="11" min="11" style="2" width="14.42"/>
  </cols>
  <sheetData>
    <row r="2" customFormat="false" ht="24.05" hidden="false" customHeight="false" outlineLevel="0" collapsed="false">
      <c r="A2" s="4" t="s">
        <v>0</v>
      </c>
      <c r="B2" s="4" t="s">
        <v>1</v>
      </c>
      <c r="C2" s="5" t="s">
        <v>2</v>
      </c>
      <c r="D2" s="6" t="s">
        <v>3</v>
      </c>
      <c r="E2" s="6" t="s">
        <v>4</v>
      </c>
      <c r="F2" s="4" t="s">
        <v>5</v>
      </c>
      <c r="G2" s="7" t="s">
        <v>6</v>
      </c>
      <c r="H2" s="6" t="s">
        <v>7</v>
      </c>
      <c r="I2" s="8" t="s">
        <v>8</v>
      </c>
      <c r="J2" s="4"/>
      <c r="K2" s="4"/>
    </row>
    <row r="3" customFormat="false" ht="15" hidden="false" customHeight="false" outlineLevel="0" collapsed="false">
      <c r="A3" s="9" t="n">
        <v>0</v>
      </c>
      <c r="B3" s="10" t="n">
        <v>5</v>
      </c>
      <c r="C3" s="2" t="n">
        <v>4</v>
      </c>
      <c r="D3" s="2" t="n">
        <v>1.225</v>
      </c>
      <c r="E3" s="2" t="n">
        <v>100</v>
      </c>
      <c r="F3" s="2" t="n">
        <v>5</v>
      </c>
      <c r="G3" s="2" t="n">
        <v>0.4</v>
      </c>
      <c r="H3" s="2" t="n">
        <v>0.9</v>
      </c>
      <c r="I3" s="2" t="n">
        <f aca="false">0.5*D3*E3*(B3^3)*G3*H3*F3/1000</f>
        <v>13.78125</v>
      </c>
      <c r="J3" s="10"/>
      <c r="K3" s="14"/>
    </row>
    <row r="4" customFormat="false" ht="15" hidden="false" customHeight="false" outlineLevel="0" collapsed="false">
      <c r="A4" s="9" t="n">
        <v>0.0416666666666667</v>
      </c>
      <c r="B4" s="10" t="n">
        <v>5.3</v>
      </c>
      <c r="C4" s="2" t="n">
        <v>4</v>
      </c>
      <c r="D4" s="2" t="n">
        <v>1.225</v>
      </c>
      <c r="E4" s="2" t="n">
        <v>100</v>
      </c>
      <c r="F4" s="2" t="n">
        <v>5</v>
      </c>
      <c r="G4" s="2" t="n">
        <v>0.4</v>
      </c>
      <c r="H4" s="2" t="n">
        <v>0.9</v>
      </c>
      <c r="I4" s="2" t="n">
        <f aca="false">0.5*D4*E4*(B4^3)*G4*H4*F4/1000</f>
        <v>16.41368925</v>
      </c>
      <c r="J4" s="10"/>
      <c r="K4" s="14"/>
    </row>
    <row r="5" customFormat="false" ht="15" hidden="false" customHeight="false" outlineLevel="0" collapsed="false">
      <c r="A5" s="9" t="n">
        <v>0.0833333333333333</v>
      </c>
      <c r="B5" s="10" t="n">
        <v>5.6</v>
      </c>
      <c r="C5" s="2" t="n">
        <v>3</v>
      </c>
      <c r="D5" s="2" t="n">
        <v>1.225</v>
      </c>
      <c r="E5" s="2" t="n">
        <v>100</v>
      </c>
      <c r="F5" s="2" t="n">
        <v>5</v>
      </c>
      <c r="G5" s="2" t="n">
        <v>0.4</v>
      </c>
      <c r="H5" s="2" t="n">
        <v>0.9</v>
      </c>
      <c r="I5" s="2" t="n">
        <f aca="false">0.5*D5*E5*(B5^3)*G5*H5*F5/1000</f>
        <v>19.361664</v>
      </c>
      <c r="J5" s="10"/>
      <c r="K5" s="14"/>
    </row>
    <row r="6" customFormat="false" ht="15" hidden="false" customHeight="false" outlineLevel="0" collapsed="false">
      <c r="A6" s="9" t="n">
        <v>0.125</v>
      </c>
      <c r="B6" s="10" t="n">
        <v>5.9</v>
      </c>
      <c r="C6" s="2" t="n">
        <v>3</v>
      </c>
      <c r="D6" s="2" t="n">
        <v>1.225</v>
      </c>
      <c r="E6" s="2" t="n">
        <v>100</v>
      </c>
      <c r="F6" s="2" t="n">
        <v>5</v>
      </c>
      <c r="G6" s="2" t="n">
        <v>0.4</v>
      </c>
      <c r="H6" s="2" t="n">
        <v>0.9</v>
      </c>
      <c r="I6" s="2" t="n">
        <f aca="false">0.5*D6*E6*(B6^3)*G6*H6*F6/1000</f>
        <v>22.64303475</v>
      </c>
      <c r="J6" s="10"/>
      <c r="K6" s="14"/>
    </row>
    <row r="7" customFormat="false" ht="15" hidden="false" customHeight="false" outlineLevel="0" collapsed="false">
      <c r="A7" s="9" t="n">
        <v>0.166666666666667</v>
      </c>
      <c r="B7" s="10" t="n">
        <v>6.2</v>
      </c>
      <c r="C7" s="2" t="n">
        <v>3</v>
      </c>
      <c r="D7" s="2" t="n">
        <v>1.225</v>
      </c>
      <c r="E7" s="2" t="n">
        <v>100</v>
      </c>
      <c r="F7" s="2" t="n">
        <v>5</v>
      </c>
      <c r="G7" s="2" t="n">
        <v>0.4</v>
      </c>
      <c r="H7" s="2" t="n">
        <v>0.9</v>
      </c>
      <c r="I7" s="2" t="n">
        <f aca="false">0.5*D7*E7*(B7^3)*G7*H7*F7/1000</f>
        <v>26.275662</v>
      </c>
      <c r="J7" s="10"/>
      <c r="K7" s="14"/>
      <c r="N7" s="2"/>
      <c r="O7" s="2"/>
      <c r="P7" s="2"/>
    </row>
    <row r="8" customFormat="false" ht="15" hidden="false" customHeight="false" outlineLevel="0" collapsed="false">
      <c r="A8" s="9" t="n">
        <v>0.208333333333333</v>
      </c>
      <c r="B8" s="10" t="n">
        <v>6.5</v>
      </c>
      <c r="C8" s="2" t="n">
        <v>4</v>
      </c>
      <c r="D8" s="2" t="n">
        <v>1.225</v>
      </c>
      <c r="E8" s="2" t="n">
        <v>100</v>
      </c>
      <c r="F8" s="2" t="n">
        <v>5</v>
      </c>
      <c r="G8" s="2" t="n">
        <v>0.4</v>
      </c>
      <c r="H8" s="2" t="n">
        <v>0.9</v>
      </c>
      <c r="I8" s="2" t="n">
        <f aca="false">0.5*D8*E8*(B8^3)*G8*H8*F8/1000</f>
        <v>30.27740625</v>
      </c>
      <c r="J8" s="10"/>
      <c r="K8" s="14"/>
      <c r="N8" s="2"/>
      <c r="O8" s="2"/>
      <c r="P8" s="2"/>
    </row>
    <row r="9" customFormat="false" ht="15" hidden="false" customHeight="false" outlineLevel="0" collapsed="false">
      <c r="A9" s="9" t="n">
        <v>0.25</v>
      </c>
      <c r="B9" s="10" t="n">
        <v>6.8</v>
      </c>
      <c r="C9" s="2" t="n">
        <v>4</v>
      </c>
      <c r="D9" s="2" t="n">
        <v>1.225</v>
      </c>
      <c r="E9" s="2" t="n">
        <v>100</v>
      </c>
      <c r="F9" s="2" t="n">
        <v>5</v>
      </c>
      <c r="G9" s="2" t="n">
        <v>0.4</v>
      </c>
      <c r="H9" s="2" t="n">
        <v>0.9</v>
      </c>
      <c r="I9" s="2" t="n">
        <f aca="false">0.5*D9*E9*(B9^3)*G9*H9*F9/1000</f>
        <v>34.666128</v>
      </c>
      <c r="J9" s="10"/>
      <c r="K9" s="14"/>
      <c r="N9" s="2"/>
      <c r="O9" s="2"/>
      <c r="P9" s="2"/>
    </row>
    <row r="10" customFormat="false" ht="15" hidden="false" customHeight="false" outlineLevel="0" collapsed="false">
      <c r="A10" s="9" t="n">
        <v>0.291666666666667</v>
      </c>
      <c r="B10" s="10" t="n">
        <v>7.1</v>
      </c>
      <c r="C10" s="2" t="n">
        <v>5</v>
      </c>
      <c r="D10" s="2" t="n">
        <v>1.225</v>
      </c>
      <c r="E10" s="2" t="n">
        <v>100</v>
      </c>
      <c r="F10" s="2" t="n">
        <v>5</v>
      </c>
      <c r="G10" s="2" t="n">
        <v>0.4</v>
      </c>
      <c r="H10" s="2" t="n">
        <v>0.9</v>
      </c>
      <c r="I10" s="2" t="n">
        <f aca="false">0.5*D10*E10*(B10^3)*G10*H10*F10/1000</f>
        <v>39.45968775</v>
      </c>
      <c r="J10" s="10"/>
      <c r="K10" s="14"/>
      <c r="N10" s="2"/>
      <c r="O10" s="2"/>
      <c r="P10" s="2"/>
    </row>
    <row r="11" customFormat="false" ht="15" hidden="false" customHeight="false" outlineLevel="0" collapsed="false">
      <c r="A11" s="9" t="n">
        <v>0.333333333333333</v>
      </c>
      <c r="B11" s="10" t="n">
        <v>7.4</v>
      </c>
      <c r="C11" s="2" t="n">
        <v>7</v>
      </c>
      <c r="D11" s="2" t="n">
        <v>1.225</v>
      </c>
      <c r="E11" s="2" t="n">
        <v>100</v>
      </c>
      <c r="F11" s="2" t="n">
        <v>5</v>
      </c>
      <c r="G11" s="2" t="n">
        <v>0.4</v>
      </c>
      <c r="H11" s="2" t="n">
        <v>0.9</v>
      </c>
      <c r="I11" s="2" t="n">
        <f aca="false">0.5*D11*E11*(B11^3)*G11*H11*F11/1000</f>
        <v>44.675946</v>
      </c>
      <c r="J11" s="10"/>
      <c r="K11" s="14"/>
      <c r="N11" s="2"/>
      <c r="O11" s="2"/>
      <c r="P11" s="2"/>
    </row>
    <row r="12" customFormat="false" ht="15" hidden="false" customHeight="false" outlineLevel="0" collapsed="false">
      <c r="A12" s="9" t="n">
        <v>0.375</v>
      </c>
      <c r="B12" s="10" t="n">
        <v>7.7</v>
      </c>
      <c r="C12" s="2" t="n">
        <v>10</v>
      </c>
      <c r="D12" s="2" t="n">
        <v>1.225</v>
      </c>
      <c r="E12" s="2" t="n">
        <v>100</v>
      </c>
      <c r="F12" s="2" t="n">
        <v>5</v>
      </c>
      <c r="G12" s="2" t="n">
        <v>0.4</v>
      </c>
      <c r="H12" s="2" t="n">
        <v>0.9</v>
      </c>
      <c r="I12" s="2" t="n">
        <f aca="false">0.5*D12*E12*(B12^3)*G12*H12*F12/1000</f>
        <v>50.33276325</v>
      </c>
      <c r="J12" s="10"/>
      <c r="K12" s="14"/>
      <c r="N12" s="2"/>
      <c r="O12" s="2"/>
      <c r="P12" s="2"/>
    </row>
    <row r="13" customFormat="false" ht="15" hidden="false" customHeight="false" outlineLevel="0" collapsed="false">
      <c r="A13" s="9" t="n">
        <v>0.416666666666667</v>
      </c>
      <c r="B13" s="10" t="n">
        <v>7.9</v>
      </c>
      <c r="C13" s="2" t="n">
        <v>15</v>
      </c>
      <c r="D13" s="2" t="n">
        <v>1.225</v>
      </c>
      <c r="E13" s="2" t="n">
        <v>100</v>
      </c>
      <c r="F13" s="2" t="n">
        <v>5</v>
      </c>
      <c r="G13" s="2" t="n">
        <v>0.4</v>
      </c>
      <c r="H13" s="2" t="n">
        <v>0.9</v>
      </c>
      <c r="I13" s="2" t="n">
        <f aca="false">0.5*D13*E13*(B13^3)*G13*H13*F13/1000</f>
        <v>54.35754975</v>
      </c>
      <c r="J13" s="10"/>
      <c r="K13" s="14"/>
      <c r="N13" s="2"/>
      <c r="O13" s="2"/>
      <c r="P13" s="2"/>
    </row>
    <row r="14" customFormat="false" ht="15" hidden="false" customHeight="false" outlineLevel="0" collapsed="false">
      <c r="A14" s="9" t="n">
        <v>0.458333333333333</v>
      </c>
      <c r="B14" s="10" t="n">
        <v>8</v>
      </c>
      <c r="C14" s="2" t="n">
        <v>20</v>
      </c>
      <c r="D14" s="2" t="n">
        <v>1.225</v>
      </c>
      <c r="E14" s="2" t="n">
        <v>100</v>
      </c>
      <c r="F14" s="2" t="n">
        <v>5</v>
      </c>
      <c r="G14" s="2" t="n">
        <v>0.4</v>
      </c>
      <c r="H14" s="2" t="n">
        <v>0.9</v>
      </c>
      <c r="I14" s="2" t="n">
        <f aca="false">0.5*D14*E14*(B14^3)*G14*H14*F14/1000</f>
        <v>56.448</v>
      </c>
      <c r="J14" s="10"/>
      <c r="K14" s="14"/>
      <c r="N14" s="2"/>
      <c r="O14" s="2"/>
      <c r="P14" s="2"/>
    </row>
    <row r="15" customFormat="false" ht="15" hidden="false" customHeight="false" outlineLevel="0" collapsed="false">
      <c r="A15" s="9" t="n">
        <v>0.5</v>
      </c>
      <c r="B15" s="10" t="n">
        <v>7.8</v>
      </c>
      <c r="C15" s="2" t="n">
        <v>23</v>
      </c>
      <c r="D15" s="2" t="n">
        <v>1.225</v>
      </c>
      <c r="E15" s="2" t="n">
        <v>100</v>
      </c>
      <c r="F15" s="2" t="n">
        <v>5</v>
      </c>
      <c r="G15" s="2" t="n">
        <v>0.4</v>
      </c>
      <c r="H15" s="2" t="n">
        <v>0.9</v>
      </c>
      <c r="I15" s="2" t="n">
        <f aca="false">0.5*D15*E15*(B15^3)*G15*H15*F15/1000</f>
        <v>52.319358</v>
      </c>
      <c r="J15" s="10"/>
      <c r="K15" s="14"/>
      <c r="N15" s="2"/>
      <c r="O15" s="2"/>
      <c r="P15" s="2"/>
    </row>
    <row r="16" customFormat="false" ht="15" hidden="false" customHeight="false" outlineLevel="0" collapsed="false">
      <c r="A16" s="9" t="n">
        <v>0.541666666666667</v>
      </c>
      <c r="B16" s="10" t="n">
        <v>7.5</v>
      </c>
      <c r="C16" s="2" t="n">
        <v>24</v>
      </c>
      <c r="D16" s="2" t="n">
        <v>1.225</v>
      </c>
      <c r="E16" s="2" t="n">
        <v>100</v>
      </c>
      <c r="F16" s="2" t="n">
        <v>5</v>
      </c>
      <c r="G16" s="2" t="n">
        <v>0.4</v>
      </c>
      <c r="H16" s="2" t="n">
        <v>0.9</v>
      </c>
      <c r="I16" s="2" t="n">
        <f aca="false">0.5*D16*E16*(B16^3)*G16*H16*F16/1000</f>
        <v>46.51171875</v>
      </c>
      <c r="J16" s="10"/>
      <c r="K16" s="14"/>
      <c r="N16" s="2"/>
      <c r="O16" s="2"/>
      <c r="P16" s="2"/>
    </row>
    <row r="17" customFormat="false" ht="15" hidden="false" customHeight="false" outlineLevel="0" collapsed="false">
      <c r="A17" s="9" t="n">
        <v>0.583333333333333</v>
      </c>
      <c r="B17" s="10" t="n">
        <v>7.2</v>
      </c>
      <c r="C17" s="2" t="n">
        <v>23</v>
      </c>
      <c r="D17" s="2" t="n">
        <v>1.225</v>
      </c>
      <c r="E17" s="2" t="n">
        <v>100</v>
      </c>
      <c r="F17" s="2" t="n">
        <v>5</v>
      </c>
      <c r="G17" s="2" t="n">
        <v>0.4</v>
      </c>
      <c r="H17" s="2" t="n">
        <v>0.9</v>
      </c>
      <c r="I17" s="2" t="n">
        <f aca="false">0.5*D17*E17*(B17^3)*G17*H17*F17/1000</f>
        <v>41.150592</v>
      </c>
      <c r="J17" s="10"/>
      <c r="K17" s="14"/>
      <c r="N17" s="2"/>
      <c r="O17" s="2"/>
      <c r="P17" s="2"/>
    </row>
    <row r="18" customFormat="false" ht="15" hidden="false" customHeight="false" outlineLevel="0" collapsed="false">
      <c r="A18" s="9" t="n">
        <v>0.625</v>
      </c>
      <c r="B18" s="10" t="n">
        <v>6.9</v>
      </c>
      <c r="C18" s="2" t="n">
        <v>20</v>
      </c>
      <c r="D18" s="2" t="n">
        <v>1.225</v>
      </c>
      <c r="E18" s="2" t="n">
        <v>100</v>
      </c>
      <c r="F18" s="2" t="n">
        <v>5</v>
      </c>
      <c r="G18" s="2" t="n">
        <v>0.4</v>
      </c>
      <c r="H18" s="2" t="n">
        <v>0.9</v>
      </c>
      <c r="I18" s="2" t="n">
        <f aca="false">0.5*D18*E18*(B18^3)*G18*H18*F18/1000</f>
        <v>36.21811725</v>
      </c>
      <c r="J18" s="10"/>
      <c r="K18" s="14"/>
      <c r="N18" s="2"/>
      <c r="O18" s="2"/>
      <c r="P18" s="2"/>
    </row>
    <row r="19" customFormat="false" ht="15" hidden="false" customHeight="false" outlineLevel="0" collapsed="false">
      <c r="A19" s="9" t="n">
        <v>0.666666666666667</v>
      </c>
      <c r="B19" s="10" t="n">
        <v>6.6</v>
      </c>
      <c r="C19" s="2" t="n">
        <v>16</v>
      </c>
      <c r="D19" s="2" t="n">
        <v>1.225</v>
      </c>
      <c r="E19" s="2" t="n">
        <v>100</v>
      </c>
      <c r="F19" s="2" t="n">
        <v>5</v>
      </c>
      <c r="G19" s="2" t="n">
        <v>0.4</v>
      </c>
      <c r="H19" s="2" t="n">
        <v>0.9</v>
      </c>
      <c r="I19" s="2" t="n">
        <f aca="false">0.5*D19*E19*(B19^3)*G19*H19*F19/1000</f>
        <v>31.696434</v>
      </c>
      <c r="J19" s="10"/>
      <c r="K19" s="14"/>
      <c r="N19" s="2"/>
      <c r="O19" s="2"/>
      <c r="P19" s="2"/>
    </row>
    <row r="20" customFormat="false" ht="15" hidden="false" customHeight="false" outlineLevel="0" collapsed="false">
      <c r="A20" s="9" t="n">
        <v>0.708333333333333</v>
      </c>
      <c r="B20" s="10" t="n">
        <v>6.3</v>
      </c>
      <c r="C20" s="2" t="n">
        <v>12</v>
      </c>
      <c r="D20" s="2" t="n">
        <v>1.225</v>
      </c>
      <c r="E20" s="2" t="n">
        <v>100</v>
      </c>
      <c r="F20" s="2" t="n">
        <v>5</v>
      </c>
      <c r="G20" s="2" t="n">
        <v>0.4</v>
      </c>
      <c r="H20" s="2" t="n">
        <v>0.9</v>
      </c>
      <c r="I20" s="2" t="n">
        <f aca="false">0.5*D20*E20*(B20^3)*G20*H20*F20/1000</f>
        <v>27.56768175</v>
      </c>
      <c r="J20" s="10"/>
      <c r="K20" s="14"/>
      <c r="N20" s="2"/>
      <c r="O20" s="2"/>
      <c r="P20" s="2"/>
    </row>
    <row r="21" customFormat="false" ht="15" hidden="false" customHeight="false" outlineLevel="0" collapsed="false">
      <c r="A21" s="9" t="n">
        <v>0.75</v>
      </c>
      <c r="B21" s="10" t="n">
        <v>6</v>
      </c>
      <c r="C21" s="2" t="n">
        <v>10</v>
      </c>
      <c r="D21" s="2" t="n">
        <v>1.225</v>
      </c>
      <c r="E21" s="2" t="n">
        <v>100</v>
      </c>
      <c r="F21" s="2" t="n">
        <v>5</v>
      </c>
      <c r="G21" s="2" t="n">
        <v>0.4</v>
      </c>
      <c r="H21" s="2" t="n">
        <v>0.9</v>
      </c>
      <c r="I21" s="2" t="n">
        <f aca="false">0.5*D21*E21*(B21^3)*G21*H21*F21/1000</f>
        <v>23.814</v>
      </c>
      <c r="J21" s="10"/>
      <c r="K21" s="14"/>
      <c r="N21" s="2"/>
      <c r="O21" s="2"/>
      <c r="P21" s="2"/>
    </row>
    <row r="22" customFormat="false" ht="15" hidden="false" customHeight="false" outlineLevel="0" collapsed="false">
      <c r="A22" s="9" t="n">
        <v>0.791666666666667</v>
      </c>
      <c r="B22" s="10" t="n">
        <v>5.7</v>
      </c>
      <c r="C22" s="2" t="n">
        <v>7</v>
      </c>
      <c r="D22" s="2" t="n">
        <v>1.225</v>
      </c>
      <c r="E22" s="2" t="n">
        <v>100</v>
      </c>
      <c r="F22" s="2" t="n">
        <v>5</v>
      </c>
      <c r="G22" s="2" t="n">
        <v>0.4</v>
      </c>
      <c r="H22" s="2" t="n">
        <v>0.9</v>
      </c>
      <c r="I22" s="2" t="n">
        <f aca="false">0.5*D22*E22*(B22^3)*G22*H22*F22/1000</f>
        <v>20.41752825</v>
      </c>
      <c r="J22" s="10"/>
      <c r="K22" s="14"/>
      <c r="N22" s="2"/>
      <c r="O22" s="2"/>
      <c r="P22" s="2"/>
    </row>
    <row r="23" customFormat="false" ht="15" hidden="false" customHeight="false" outlineLevel="0" collapsed="false">
      <c r="A23" s="9" t="n">
        <v>0.833333333333333</v>
      </c>
      <c r="B23" s="10" t="n">
        <v>5.4</v>
      </c>
      <c r="C23" s="2" t="n">
        <v>6</v>
      </c>
      <c r="D23" s="2" t="n">
        <v>1.225</v>
      </c>
      <c r="E23" s="2" t="n">
        <v>100</v>
      </c>
      <c r="F23" s="2" t="n">
        <v>5</v>
      </c>
      <c r="G23" s="2" t="n">
        <v>0.4</v>
      </c>
      <c r="H23" s="2" t="n">
        <v>0.9</v>
      </c>
      <c r="I23" s="2" t="n">
        <f aca="false">0.5*D23*E23*(B23^3)*G23*H23*F23/1000</f>
        <v>17.360406</v>
      </c>
      <c r="J23" s="10"/>
      <c r="K23" s="14"/>
      <c r="N23" s="2"/>
      <c r="O23" s="2"/>
      <c r="P23" s="2"/>
    </row>
    <row r="24" customFormat="false" ht="15" hidden="false" customHeight="false" outlineLevel="0" collapsed="false">
      <c r="A24" s="9" t="n">
        <v>0.875</v>
      </c>
      <c r="B24" s="10" t="n">
        <v>5.2</v>
      </c>
      <c r="C24" s="2" t="n">
        <v>5</v>
      </c>
      <c r="D24" s="2" t="n">
        <v>1.225</v>
      </c>
      <c r="E24" s="2" t="n">
        <v>100</v>
      </c>
      <c r="F24" s="2" t="n">
        <v>5</v>
      </c>
      <c r="G24" s="2" t="n">
        <v>0.4</v>
      </c>
      <c r="H24" s="2" t="n">
        <v>0.9</v>
      </c>
      <c r="I24" s="2" t="n">
        <f aca="false">0.5*D24*E24*(B24^3)*G24*H24*F24/1000</f>
        <v>15.502032</v>
      </c>
      <c r="J24" s="10"/>
      <c r="K24" s="14"/>
      <c r="N24" s="2"/>
      <c r="O24" s="2"/>
      <c r="P24" s="2"/>
    </row>
    <row r="25" customFormat="false" ht="15" hidden="false" customHeight="false" outlineLevel="0" collapsed="false">
      <c r="A25" s="9" t="n">
        <v>0.916666666666667</v>
      </c>
      <c r="B25" s="10" t="n">
        <v>5.1</v>
      </c>
      <c r="C25" s="2" t="n">
        <v>5</v>
      </c>
      <c r="D25" s="2" t="n">
        <v>1.225</v>
      </c>
      <c r="E25" s="2" t="n">
        <v>100</v>
      </c>
      <c r="F25" s="2" t="n">
        <v>5</v>
      </c>
      <c r="G25" s="2" t="n">
        <v>0.4</v>
      </c>
      <c r="H25" s="2" t="n">
        <v>0.9</v>
      </c>
      <c r="I25" s="2" t="n">
        <f aca="false">0.5*D25*E25*(B25^3)*G25*H25*F25/1000</f>
        <v>14.62477275</v>
      </c>
      <c r="J25" s="10"/>
      <c r="K25" s="14"/>
      <c r="N25" s="2"/>
      <c r="O25" s="2"/>
      <c r="P25" s="2"/>
    </row>
    <row r="26" customFormat="false" ht="15" hidden="false" customHeight="false" outlineLevel="0" collapsed="false">
      <c r="A26" s="9" t="n">
        <v>0.958333333333333</v>
      </c>
      <c r="B26" s="10" t="n">
        <v>5</v>
      </c>
      <c r="C26" s="2" t="n">
        <v>4</v>
      </c>
      <c r="D26" s="2" t="n">
        <v>1.225</v>
      </c>
      <c r="E26" s="2" t="n">
        <v>100</v>
      </c>
      <c r="F26" s="2" t="n">
        <v>5</v>
      </c>
      <c r="G26" s="2" t="n">
        <v>0.4</v>
      </c>
      <c r="H26" s="2" t="n">
        <v>0.9</v>
      </c>
      <c r="I26" s="2" t="n">
        <f aca="false">0.5*D26*E26*(B26^3)*G26*H26*F26/1000</f>
        <v>13.78125</v>
      </c>
      <c r="J26" s="10"/>
      <c r="K26" s="14"/>
      <c r="N26" s="2"/>
      <c r="O26" s="2"/>
      <c r="P26" s="2"/>
    </row>
    <row r="27" customFormat="false" ht="15" hidden="false" customHeight="false" outlineLevel="0" collapsed="false">
      <c r="I27" s="11" t="n">
        <f aca="false">SUM(I3:I26)</f>
        <v>749.65667175</v>
      </c>
      <c r="J27" s="11"/>
      <c r="K27" s="14"/>
      <c r="N27" s="2"/>
      <c r="O27" s="2"/>
      <c r="P27" s="2"/>
    </row>
    <row r="28" customFormat="false" ht="15" hidden="false" customHeight="false" outlineLevel="0" collapsed="false">
      <c r="J28" s="14"/>
      <c r="K28" s="14"/>
    </row>
    <row r="29" customFormat="false" ht="15" hidden="false" customHeight="false" outlineLevel="0" collapsed="false">
      <c r="B29" s="11" t="n">
        <f aca="false">SUM(B3:B26)*30/1000</f>
        <v>4.623</v>
      </c>
      <c r="I29" s="4" t="s">
        <v>9</v>
      </c>
      <c r="J29" s="11" t="n">
        <f aca="false">I27*30*0.9</f>
        <v>20240.73013725</v>
      </c>
      <c r="K29" s="14"/>
    </row>
    <row r="30" customFormat="false" ht="15" hidden="false" customHeight="false" outlineLevel="0" collapsed="false">
      <c r="B30" s="12" t="n">
        <f aca="false">B29*30</f>
        <v>138.69</v>
      </c>
      <c r="J30" s="14"/>
      <c r="K30" s="14"/>
    </row>
    <row r="31" customFormat="false" ht="15" hidden="false" customHeight="false" outlineLevel="0" collapsed="false">
      <c r="B31" s="1" t="n">
        <v>2039</v>
      </c>
      <c r="C31" s="1" t="s">
        <v>10</v>
      </c>
      <c r="J31" s="14"/>
      <c r="K31" s="14"/>
    </row>
    <row r="32" customFormat="false" ht="13.8" hidden="false" customHeight="false" outlineLevel="0" collapsed="false">
      <c r="J32" s="14"/>
      <c r="K32" s="14"/>
    </row>
    <row r="33" customFormat="false" ht="13.8" hidden="false" customHeight="false" outlineLevel="0" collapsed="false">
      <c r="J33" s="14"/>
      <c r="K33" s="14"/>
    </row>
    <row r="34" customFormat="false" ht="13.8" hidden="false" customHeight="false" outlineLevel="0" collapsed="false">
      <c r="J34" s="14"/>
      <c r="K34" s="14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2:K3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F31" activeCellId="0" sqref="F31"/>
    </sheetView>
  </sheetViews>
  <sheetFormatPr defaultColWidth="8.54296875" defaultRowHeight="15" customHeight="false" zeroHeight="false" outlineLevelRow="0" outlineLevelCol="0"/>
  <cols>
    <col collapsed="false" customWidth="true" hidden="false" outlineLevel="0" max="1" min="1" style="1" width="5.57"/>
    <col collapsed="false" customWidth="true" hidden="false" outlineLevel="0" max="2" min="2" style="1" width="15.32"/>
    <col collapsed="false" customWidth="true" hidden="false" outlineLevel="0" max="3" min="3" style="1" width="10.71"/>
    <col collapsed="false" customWidth="true" hidden="false" outlineLevel="0" max="4" min="4" style="2" width="15.42"/>
    <col collapsed="false" customWidth="true" hidden="false" outlineLevel="0" max="5" min="5" style="2" width="12.42"/>
    <col collapsed="false" customWidth="true" hidden="false" outlineLevel="0" max="6" min="6" style="2" width="11.71"/>
    <col collapsed="false" customWidth="true" hidden="false" outlineLevel="0" max="7" min="7" style="2" width="15"/>
    <col collapsed="false" customWidth="true" hidden="false" outlineLevel="0" max="8" min="8" style="2" width="11.71"/>
    <col collapsed="false" customWidth="true" hidden="false" outlineLevel="0" max="9" min="9" style="2" width="18.84"/>
    <col collapsed="false" customWidth="true" hidden="false" outlineLevel="0" max="10" min="10" style="2" width="16"/>
    <col collapsed="false" customWidth="true" hidden="false" outlineLevel="0" max="11" min="11" style="2" width="14.42"/>
  </cols>
  <sheetData>
    <row r="2" customFormat="false" ht="24.05" hidden="false" customHeight="false" outlineLevel="0" collapsed="false">
      <c r="A2" s="4" t="s">
        <v>0</v>
      </c>
      <c r="B2" s="4" t="s">
        <v>1</v>
      </c>
      <c r="C2" s="5" t="s">
        <v>2</v>
      </c>
      <c r="D2" s="6" t="s">
        <v>3</v>
      </c>
      <c r="E2" s="6" t="s">
        <v>4</v>
      </c>
      <c r="F2" s="4" t="s">
        <v>5</v>
      </c>
      <c r="G2" s="7" t="s">
        <v>6</v>
      </c>
      <c r="H2" s="6" t="s">
        <v>7</v>
      </c>
      <c r="I2" s="8" t="s">
        <v>8</v>
      </c>
      <c r="J2" s="4"/>
      <c r="K2" s="4"/>
    </row>
    <row r="3" customFormat="false" ht="15" hidden="false" customHeight="false" outlineLevel="0" collapsed="false">
      <c r="A3" s="9" t="n">
        <v>0</v>
      </c>
      <c r="B3" s="10" t="n">
        <v>5.2</v>
      </c>
      <c r="C3" s="2" t="n">
        <v>4</v>
      </c>
      <c r="D3" s="2" t="n">
        <v>1.225</v>
      </c>
      <c r="E3" s="2" t="n">
        <v>100</v>
      </c>
      <c r="F3" s="2" t="n">
        <v>5</v>
      </c>
      <c r="G3" s="2" t="n">
        <v>0.4</v>
      </c>
      <c r="H3" s="2" t="n">
        <v>0.9</v>
      </c>
      <c r="I3" s="2" t="n">
        <f aca="false">0.5*D3*E3*(B3^3)*G3*H3*F3/1000</f>
        <v>15.502032</v>
      </c>
      <c r="J3" s="10"/>
    </row>
    <row r="4" customFormat="false" ht="15" hidden="false" customHeight="false" outlineLevel="0" collapsed="false">
      <c r="A4" s="9" t="n">
        <v>0.0416666666666667</v>
      </c>
      <c r="B4" s="10" t="n">
        <v>5.5</v>
      </c>
      <c r="C4" s="2" t="n">
        <v>4</v>
      </c>
      <c r="D4" s="2" t="n">
        <v>1.225</v>
      </c>
      <c r="E4" s="2" t="n">
        <v>100</v>
      </c>
      <c r="F4" s="2" t="n">
        <v>5</v>
      </c>
      <c r="G4" s="2" t="n">
        <v>0.4</v>
      </c>
      <c r="H4" s="2" t="n">
        <v>0.9</v>
      </c>
      <c r="I4" s="2" t="n">
        <f aca="false">0.5*D4*E4*(B4^3)*G4*H4*F4/1000</f>
        <v>18.34284375</v>
      </c>
      <c r="J4" s="10"/>
    </row>
    <row r="5" customFormat="false" ht="15" hidden="false" customHeight="false" outlineLevel="0" collapsed="false">
      <c r="A5" s="9" t="n">
        <v>0.0833333333333333</v>
      </c>
      <c r="B5" s="10" t="n">
        <v>5.8</v>
      </c>
      <c r="C5" s="2" t="n">
        <v>3</v>
      </c>
      <c r="D5" s="2" t="n">
        <v>1.225</v>
      </c>
      <c r="E5" s="2" t="n">
        <v>100</v>
      </c>
      <c r="F5" s="2" t="n">
        <v>5</v>
      </c>
      <c r="G5" s="2" t="n">
        <v>0.4</v>
      </c>
      <c r="H5" s="2" t="n">
        <v>0.9</v>
      </c>
      <c r="I5" s="2" t="n">
        <f aca="false">0.5*D5*E5*(B5^3)*G5*H5*F5/1000</f>
        <v>21.511098</v>
      </c>
      <c r="J5" s="10"/>
    </row>
    <row r="6" customFormat="false" ht="15" hidden="false" customHeight="false" outlineLevel="0" collapsed="false">
      <c r="A6" s="9" t="n">
        <v>0.125</v>
      </c>
      <c r="B6" s="10" t="n">
        <v>6.1</v>
      </c>
      <c r="C6" s="2" t="n">
        <v>3</v>
      </c>
      <c r="D6" s="2" t="n">
        <v>1.225</v>
      </c>
      <c r="E6" s="2" t="n">
        <v>100</v>
      </c>
      <c r="F6" s="2" t="n">
        <v>5</v>
      </c>
      <c r="G6" s="2" t="n">
        <v>0.4</v>
      </c>
      <c r="H6" s="2" t="n">
        <v>0.9</v>
      </c>
      <c r="I6" s="2" t="n">
        <f aca="false">0.5*D6*E6*(B6^3)*G6*H6*F6/1000</f>
        <v>25.02465525</v>
      </c>
      <c r="J6" s="10"/>
    </row>
    <row r="7" customFormat="false" ht="15" hidden="false" customHeight="false" outlineLevel="0" collapsed="false">
      <c r="A7" s="9" t="n">
        <v>0.166666666666667</v>
      </c>
      <c r="B7" s="10" t="n">
        <v>6.4</v>
      </c>
      <c r="C7" s="2" t="n">
        <v>3</v>
      </c>
      <c r="D7" s="2" t="n">
        <v>1.225</v>
      </c>
      <c r="E7" s="2" t="n">
        <v>100</v>
      </c>
      <c r="F7" s="2" t="n">
        <v>5</v>
      </c>
      <c r="G7" s="2" t="n">
        <v>0.4</v>
      </c>
      <c r="H7" s="2" t="n">
        <v>0.9</v>
      </c>
      <c r="I7" s="2" t="n">
        <f aca="false">0.5*D7*E7*(B7^3)*G7*H7*F7/1000</f>
        <v>28.901376</v>
      </c>
      <c r="J7" s="10"/>
    </row>
    <row r="8" customFormat="false" ht="15" hidden="false" customHeight="false" outlineLevel="0" collapsed="false">
      <c r="A8" s="9" t="n">
        <v>0.208333333333333</v>
      </c>
      <c r="B8" s="10" t="n">
        <v>6.7</v>
      </c>
      <c r="C8" s="2" t="n">
        <v>4</v>
      </c>
      <c r="D8" s="2" t="n">
        <v>1.225</v>
      </c>
      <c r="E8" s="2" t="n">
        <v>100</v>
      </c>
      <c r="F8" s="2" t="n">
        <v>5</v>
      </c>
      <c r="G8" s="2" t="n">
        <v>0.4</v>
      </c>
      <c r="H8" s="2" t="n">
        <v>0.9</v>
      </c>
      <c r="I8" s="2" t="n">
        <f aca="false">0.5*D8*E8*(B8^3)*G8*H8*F8/1000</f>
        <v>33.15912075</v>
      </c>
      <c r="J8" s="10"/>
    </row>
    <row r="9" customFormat="false" ht="15" hidden="false" customHeight="false" outlineLevel="0" collapsed="false">
      <c r="A9" s="9" t="n">
        <v>0.25</v>
      </c>
      <c r="B9" s="10" t="n">
        <v>7</v>
      </c>
      <c r="C9" s="2" t="n">
        <v>4</v>
      </c>
      <c r="D9" s="2" t="n">
        <v>1.225</v>
      </c>
      <c r="E9" s="2" t="n">
        <v>100</v>
      </c>
      <c r="F9" s="2" t="n">
        <v>5</v>
      </c>
      <c r="G9" s="2" t="n">
        <v>0.4</v>
      </c>
      <c r="H9" s="2" t="n">
        <v>0.9</v>
      </c>
      <c r="I9" s="2" t="n">
        <f aca="false">0.5*D9*E9*(B9^3)*G9*H9*F9/1000</f>
        <v>37.81575</v>
      </c>
      <c r="J9" s="10"/>
    </row>
    <row r="10" customFormat="false" ht="15" hidden="false" customHeight="false" outlineLevel="0" collapsed="false">
      <c r="A10" s="9" t="n">
        <v>0.291666666666667</v>
      </c>
      <c r="B10" s="10" t="n">
        <v>7.3</v>
      </c>
      <c r="C10" s="2" t="n">
        <v>5</v>
      </c>
      <c r="D10" s="2" t="n">
        <v>1.225</v>
      </c>
      <c r="E10" s="2" t="n">
        <v>100</v>
      </c>
      <c r="F10" s="2" t="n">
        <v>5</v>
      </c>
      <c r="G10" s="2" t="n">
        <v>0.4</v>
      </c>
      <c r="H10" s="2" t="n">
        <v>0.9</v>
      </c>
      <c r="I10" s="2" t="n">
        <f aca="false">0.5*D10*E10*(B10^3)*G10*H10*F10/1000</f>
        <v>42.88912425</v>
      </c>
      <c r="J10" s="10"/>
    </row>
    <row r="11" customFormat="false" ht="15" hidden="false" customHeight="false" outlineLevel="0" collapsed="false">
      <c r="A11" s="9" t="n">
        <v>0.333333333333333</v>
      </c>
      <c r="B11" s="10" t="n">
        <v>7.6</v>
      </c>
      <c r="C11" s="2" t="n">
        <v>7</v>
      </c>
      <c r="D11" s="2" t="n">
        <v>1.225</v>
      </c>
      <c r="E11" s="2" t="n">
        <v>100</v>
      </c>
      <c r="F11" s="2" t="n">
        <v>5</v>
      </c>
      <c r="G11" s="2" t="n">
        <v>0.4</v>
      </c>
      <c r="H11" s="2" t="n">
        <v>0.9</v>
      </c>
      <c r="I11" s="2" t="n">
        <f aca="false">0.5*D11*E11*(B11^3)*G11*H11*F11/1000</f>
        <v>48.397104</v>
      </c>
      <c r="J11" s="10"/>
    </row>
    <row r="12" customFormat="false" ht="15" hidden="false" customHeight="false" outlineLevel="0" collapsed="false">
      <c r="A12" s="9" t="n">
        <v>0.375</v>
      </c>
      <c r="B12" s="10" t="n">
        <v>7.9</v>
      </c>
      <c r="C12" s="2" t="n">
        <v>10</v>
      </c>
      <c r="D12" s="2" t="n">
        <v>1.225</v>
      </c>
      <c r="E12" s="2" t="n">
        <v>100</v>
      </c>
      <c r="F12" s="2" t="n">
        <v>5</v>
      </c>
      <c r="G12" s="2" t="n">
        <v>0.4</v>
      </c>
      <c r="H12" s="2" t="n">
        <v>0.9</v>
      </c>
      <c r="I12" s="2" t="n">
        <f aca="false">0.5*D12*E12*(B12^3)*G12*H12*F12/1000</f>
        <v>54.35754975</v>
      </c>
      <c r="J12" s="10"/>
    </row>
    <row r="13" customFormat="false" ht="15" hidden="false" customHeight="false" outlineLevel="0" collapsed="false">
      <c r="A13" s="9" t="n">
        <v>0.416666666666667</v>
      </c>
      <c r="B13" s="10" t="n">
        <v>8.1</v>
      </c>
      <c r="C13" s="2" t="n">
        <v>15</v>
      </c>
      <c r="D13" s="2" t="n">
        <v>1.225</v>
      </c>
      <c r="E13" s="2" t="n">
        <v>100</v>
      </c>
      <c r="F13" s="2" t="n">
        <v>5</v>
      </c>
      <c r="G13" s="2" t="n">
        <v>0.4</v>
      </c>
      <c r="H13" s="2" t="n">
        <v>0.9</v>
      </c>
      <c r="I13" s="2" t="n">
        <f aca="false">0.5*D13*E13*(B13^3)*G13*H13*F13/1000</f>
        <v>58.59137025</v>
      </c>
      <c r="J13" s="10"/>
    </row>
    <row r="14" customFormat="false" ht="15" hidden="false" customHeight="false" outlineLevel="0" collapsed="false">
      <c r="A14" s="9" t="n">
        <v>0.458333333333333</v>
      </c>
      <c r="B14" s="10" t="n">
        <v>8.3</v>
      </c>
      <c r="C14" s="2" t="n">
        <v>20</v>
      </c>
      <c r="D14" s="2" t="n">
        <v>1.225</v>
      </c>
      <c r="E14" s="2" t="n">
        <v>100</v>
      </c>
      <c r="F14" s="2" t="n">
        <v>5</v>
      </c>
      <c r="G14" s="2" t="n">
        <v>0.4</v>
      </c>
      <c r="H14" s="2" t="n">
        <v>0.9</v>
      </c>
      <c r="I14" s="2" t="n">
        <f aca="false">0.5*D14*E14*(B14^3)*G14*H14*F14/1000</f>
        <v>63.03951675</v>
      </c>
      <c r="J14" s="10"/>
    </row>
    <row r="15" customFormat="false" ht="15" hidden="false" customHeight="false" outlineLevel="0" collapsed="false">
      <c r="A15" s="9" t="n">
        <v>0.5</v>
      </c>
      <c r="B15" s="10" t="n">
        <v>8</v>
      </c>
      <c r="C15" s="2" t="n">
        <v>23</v>
      </c>
      <c r="D15" s="2" t="n">
        <v>1.225</v>
      </c>
      <c r="E15" s="2" t="n">
        <v>100</v>
      </c>
      <c r="F15" s="2" t="n">
        <v>5</v>
      </c>
      <c r="G15" s="2" t="n">
        <v>0.4</v>
      </c>
      <c r="H15" s="2" t="n">
        <v>0.9</v>
      </c>
      <c r="I15" s="2" t="n">
        <f aca="false">0.5*D15*E15*(B15^3)*G15*H15*F15/1000</f>
        <v>56.448</v>
      </c>
      <c r="J15" s="10"/>
    </row>
    <row r="16" customFormat="false" ht="15" hidden="false" customHeight="false" outlineLevel="0" collapsed="false">
      <c r="A16" s="9" t="n">
        <v>0.541666666666667</v>
      </c>
      <c r="B16" s="10" t="n">
        <v>7.7</v>
      </c>
      <c r="C16" s="2" t="n">
        <v>24</v>
      </c>
      <c r="D16" s="2" t="n">
        <v>1.225</v>
      </c>
      <c r="E16" s="2" t="n">
        <v>100</v>
      </c>
      <c r="F16" s="2" t="n">
        <v>5</v>
      </c>
      <c r="G16" s="2" t="n">
        <v>0.4</v>
      </c>
      <c r="H16" s="2" t="n">
        <v>0.9</v>
      </c>
      <c r="I16" s="2" t="n">
        <f aca="false">0.5*D16*E16*(B16^3)*G16*H16*F16/1000</f>
        <v>50.33276325</v>
      </c>
      <c r="J16" s="10"/>
    </row>
    <row r="17" customFormat="false" ht="15" hidden="false" customHeight="false" outlineLevel="0" collapsed="false">
      <c r="A17" s="9" t="n">
        <v>0.583333333333333</v>
      </c>
      <c r="B17" s="10" t="n">
        <v>7.4</v>
      </c>
      <c r="C17" s="2" t="n">
        <v>23</v>
      </c>
      <c r="D17" s="2" t="n">
        <v>1.225</v>
      </c>
      <c r="E17" s="2" t="n">
        <v>100</v>
      </c>
      <c r="F17" s="2" t="n">
        <v>5</v>
      </c>
      <c r="G17" s="2" t="n">
        <v>0.4</v>
      </c>
      <c r="H17" s="2" t="n">
        <v>0.9</v>
      </c>
      <c r="I17" s="2" t="n">
        <f aca="false">0.5*D17*E17*(B17^3)*G17*H17*F17/1000</f>
        <v>44.675946</v>
      </c>
      <c r="J17" s="10"/>
    </row>
    <row r="18" customFormat="false" ht="15" hidden="false" customHeight="false" outlineLevel="0" collapsed="false">
      <c r="A18" s="9" t="n">
        <v>0.625</v>
      </c>
      <c r="B18" s="10" t="n">
        <v>7.1</v>
      </c>
      <c r="C18" s="2" t="n">
        <v>20</v>
      </c>
      <c r="D18" s="2" t="n">
        <v>1.225</v>
      </c>
      <c r="E18" s="2" t="n">
        <v>100</v>
      </c>
      <c r="F18" s="2" t="n">
        <v>5</v>
      </c>
      <c r="G18" s="2" t="n">
        <v>0.4</v>
      </c>
      <c r="H18" s="2" t="n">
        <v>0.9</v>
      </c>
      <c r="I18" s="2" t="n">
        <f aca="false">0.5*D18*E18*(B18^3)*G18*H18*F18/1000</f>
        <v>39.45968775</v>
      </c>
      <c r="J18" s="10"/>
    </row>
    <row r="19" customFormat="false" ht="15" hidden="false" customHeight="false" outlineLevel="0" collapsed="false">
      <c r="A19" s="9" t="n">
        <v>0.666666666666667</v>
      </c>
      <c r="B19" s="10" t="n">
        <v>6.8</v>
      </c>
      <c r="C19" s="2" t="n">
        <v>16</v>
      </c>
      <c r="D19" s="2" t="n">
        <v>1.225</v>
      </c>
      <c r="E19" s="2" t="n">
        <v>100</v>
      </c>
      <c r="F19" s="2" t="n">
        <v>5</v>
      </c>
      <c r="G19" s="2" t="n">
        <v>0.4</v>
      </c>
      <c r="H19" s="2" t="n">
        <v>0.9</v>
      </c>
      <c r="I19" s="2" t="n">
        <f aca="false">0.5*D19*E19*(B19^3)*G19*H19*F19/1000</f>
        <v>34.666128</v>
      </c>
      <c r="J19" s="10"/>
    </row>
    <row r="20" customFormat="false" ht="15" hidden="false" customHeight="false" outlineLevel="0" collapsed="false">
      <c r="A20" s="9" t="n">
        <v>0.708333333333333</v>
      </c>
      <c r="B20" s="10" t="n">
        <v>6.5</v>
      </c>
      <c r="C20" s="2" t="n">
        <v>12</v>
      </c>
      <c r="D20" s="2" t="n">
        <v>1.225</v>
      </c>
      <c r="E20" s="2" t="n">
        <v>100</v>
      </c>
      <c r="F20" s="2" t="n">
        <v>5</v>
      </c>
      <c r="G20" s="2" t="n">
        <v>0.4</v>
      </c>
      <c r="H20" s="2" t="n">
        <v>0.9</v>
      </c>
      <c r="I20" s="2" t="n">
        <f aca="false">0.5*D20*E20*(B20^3)*G20*H20*F20/1000</f>
        <v>30.27740625</v>
      </c>
      <c r="J20" s="10"/>
    </row>
    <row r="21" customFormat="false" ht="15" hidden="false" customHeight="false" outlineLevel="0" collapsed="false">
      <c r="A21" s="9" t="n">
        <v>0.75</v>
      </c>
      <c r="B21" s="10" t="n">
        <v>6.2</v>
      </c>
      <c r="C21" s="2" t="n">
        <v>10</v>
      </c>
      <c r="D21" s="2" t="n">
        <v>1.225</v>
      </c>
      <c r="E21" s="2" t="n">
        <v>100</v>
      </c>
      <c r="F21" s="2" t="n">
        <v>5</v>
      </c>
      <c r="G21" s="2" t="n">
        <v>0.4</v>
      </c>
      <c r="H21" s="2" t="n">
        <v>0.9</v>
      </c>
      <c r="I21" s="2" t="n">
        <f aca="false">0.5*D21*E21*(B21^3)*G21*H21*F21/1000</f>
        <v>26.275662</v>
      </c>
      <c r="J21" s="10"/>
    </row>
    <row r="22" customFormat="false" ht="15" hidden="false" customHeight="false" outlineLevel="0" collapsed="false">
      <c r="A22" s="9" t="n">
        <v>0.791666666666667</v>
      </c>
      <c r="B22" s="10" t="n">
        <v>5.9</v>
      </c>
      <c r="C22" s="2" t="n">
        <v>7</v>
      </c>
      <c r="D22" s="2" t="n">
        <v>1.225</v>
      </c>
      <c r="E22" s="2" t="n">
        <v>100</v>
      </c>
      <c r="F22" s="2" t="n">
        <v>5</v>
      </c>
      <c r="G22" s="2" t="n">
        <v>0.4</v>
      </c>
      <c r="H22" s="2" t="n">
        <v>0.9</v>
      </c>
      <c r="I22" s="2" t="n">
        <f aca="false">0.5*D22*E22*(B22^3)*G22*H22*F22/1000</f>
        <v>22.64303475</v>
      </c>
      <c r="J22" s="10"/>
    </row>
    <row r="23" customFormat="false" ht="15" hidden="false" customHeight="false" outlineLevel="0" collapsed="false">
      <c r="A23" s="9" t="n">
        <v>0.833333333333333</v>
      </c>
      <c r="B23" s="10" t="n">
        <v>5.6</v>
      </c>
      <c r="C23" s="2" t="n">
        <v>6</v>
      </c>
      <c r="D23" s="2" t="n">
        <v>1.225</v>
      </c>
      <c r="E23" s="2" t="n">
        <v>100</v>
      </c>
      <c r="F23" s="2" t="n">
        <v>5</v>
      </c>
      <c r="G23" s="2" t="n">
        <v>0.4</v>
      </c>
      <c r="H23" s="2" t="n">
        <v>0.9</v>
      </c>
      <c r="I23" s="2" t="n">
        <f aca="false">0.5*D23*E23*(B23^3)*G23*H23*F23/1000</f>
        <v>19.361664</v>
      </c>
      <c r="J23" s="10"/>
    </row>
    <row r="24" customFormat="false" ht="15" hidden="false" customHeight="false" outlineLevel="0" collapsed="false">
      <c r="A24" s="9" t="n">
        <v>0.875</v>
      </c>
      <c r="B24" s="10" t="n">
        <v>5.4</v>
      </c>
      <c r="C24" s="2" t="n">
        <v>5</v>
      </c>
      <c r="D24" s="2" t="n">
        <v>1.225</v>
      </c>
      <c r="E24" s="2" t="n">
        <v>100</v>
      </c>
      <c r="F24" s="2" t="n">
        <v>5</v>
      </c>
      <c r="G24" s="2" t="n">
        <v>0.4</v>
      </c>
      <c r="H24" s="2" t="n">
        <v>0.9</v>
      </c>
      <c r="I24" s="2" t="n">
        <f aca="false">0.5*D24*E24*(B24^3)*G24*H24*F24/1000</f>
        <v>17.360406</v>
      </c>
      <c r="J24" s="10"/>
    </row>
    <row r="25" customFormat="false" ht="15" hidden="false" customHeight="false" outlineLevel="0" collapsed="false">
      <c r="A25" s="9" t="n">
        <v>0.916666666666667</v>
      </c>
      <c r="B25" s="10" t="n">
        <v>5.3</v>
      </c>
      <c r="C25" s="2" t="n">
        <v>5</v>
      </c>
      <c r="D25" s="2" t="n">
        <v>1.225</v>
      </c>
      <c r="E25" s="2" t="n">
        <v>100</v>
      </c>
      <c r="F25" s="2" t="n">
        <v>5</v>
      </c>
      <c r="G25" s="2" t="n">
        <v>0.4</v>
      </c>
      <c r="H25" s="2" t="n">
        <v>0.9</v>
      </c>
      <c r="I25" s="2" t="n">
        <f aca="false">0.5*D25*E25*(B25^3)*G25*H25*F25/1000</f>
        <v>16.41368925</v>
      </c>
      <c r="J25" s="10"/>
    </row>
    <row r="26" customFormat="false" ht="15" hidden="false" customHeight="false" outlineLevel="0" collapsed="false">
      <c r="A26" s="9" t="n">
        <v>0.958333333333333</v>
      </c>
      <c r="B26" s="10" t="n">
        <v>5.1</v>
      </c>
      <c r="C26" s="2" t="n">
        <v>4</v>
      </c>
      <c r="D26" s="2" t="n">
        <v>1.225</v>
      </c>
      <c r="E26" s="2" t="n">
        <v>100</v>
      </c>
      <c r="F26" s="2" t="n">
        <v>5</v>
      </c>
      <c r="G26" s="2" t="n">
        <v>0.4</v>
      </c>
      <c r="H26" s="2" t="n">
        <v>0.9</v>
      </c>
      <c r="I26" s="2" t="n">
        <f aca="false">0.5*D26*E26*(B26^3)*G26*H26*F26/1000</f>
        <v>14.62477275</v>
      </c>
      <c r="J26" s="10"/>
    </row>
    <row r="27" customFormat="false" ht="15" hidden="false" customHeight="false" outlineLevel="0" collapsed="false">
      <c r="I27" s="11" t="n">
        <f aca="false">SUM(I3:I26)</f>
        <v>820.07070075</v>
      </c>
      <c r="J27" s="11"/>
    </row>
    <row r="29" customFormat="false" ht="15" hidden="false" customHeight="false" outlineLevel="0" collapsed="false">
      <c r="B29" s="11" t="n">
        <f aca="false">SUM(B3:B26)*31/1000</f>
        <v>4.9259</v>
      </c>
      <c r="I29" s="4" t="s">
        <v>9</v>
      </c>
      <c r="J29" s="11" t="n">
        <f aca="false">I27*31*0.9</f>
        <v>22879.972550925</v>
      </c>
    </row>
    <row r="30" customFormat="false" ht="15" hidden="false" customHeight="false" outlineLevel="0" collapsed="false">
      <c r="B30" s="12" t="n">
        <f aca="false">B29*31</f>
        <v>152.7029</v>
      </c>
    </row>
    <row r="31" customFormat="false" ht="15" hidden="false" customHeight="false" outlineLevel="0" collapsed="false">
      <c r="B31" s="1" t="n">
        <v>1568</v>
      </c>
      <c r="C31" s="1" t="s">
        <v>10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B10" activeCellId="0" sqref="B10"/>
    </sheetView>
  </sheetViews>
  <sheetFormatPr defaultColWidth="8.54296875" defaultRowHeight="15" customHeight="false" zeroHeight="false" outlineLevelRow="0" outlineLevelCol="0"/>
  <cols>
    <col collapsed="false" customWidth="true" hidden="false" outlineLevel="0" max="1" min="1" style="2" width="8"/>
    <col collapsed="false" customWidth="true" hidden="false" outlineLevel="0" max="2" min="2" style="2" width="18.71"/>
    <col collapsed="false" customWidth="true" hidden="false" outlineLevel="0" max="3" min="3" style="2" width="14.42"/>
    <col collapsed="false" customWidth="true" hidden="false" outlineLevel="0" max="4" min="4" style="2" width="8.86"/>
  </cols>
  <sheetData>
    <row r="1" customFormat="false" ht="15" hidden="false" customHeight="false" outlineLevel="0" collapsed="false">
      <c r="A1" s="4" t="s">
        <v>11</v>
      </c>
      <c r="B1" s="4" t="s">
        <v>12</v>
      </c>
      <c r="C1" s="4"/>
      <c r="D1" s="4"/>
    </row>
    <row r="2" customFormat="false" ht="15" hidden="false" customHeight="false" outlineLevel="0" collapsed="false">
      <c r="A2" s="2" t="s">
        <v>13</v>
      </c>
      <c r="B2" s="14" t="n">
        <f aca="false">OCAK!$J$29</f>
        <v>22879.972550925</v>
      </c>
      <c r="C2" s="14"/>
      <c r="E2" s="15"/>
    </row>
    <row r="3" customFormat="false" ht="15" hidden="false" customHeight="false" outlineLevel="0" collapsed="false">
      <c r="A3" s="2" t="s">
        <v>14</v>
      </c>
      <c r="B3" s="14" t="n">
        <f aca="false">ŞUBAT!$I$29</f>
        <v>18891.3481281</v>
      </c>
      <c r="C3" s="14"/>
      <c r="E3" s="15"/>
    </row>
    <row r="4" customFormat="false" ht="15" hidden="false" customHeight="false" outlineLevel="0" collapsed="false">
      <c r="A4" s="2" t="s">
        <v>15</v>
      </c>
      <c r="B4" s="14" t="n">
        <f aca="false">MART!$J$29</f>
        <v>19102.964392575</v>
      </c>
      <c r="C4" s="14"/>
      <c r="E4" s="15"/>
    </row>
    <row r="5" customFormat="false" ht="15" hidden="false" customHeight="false" outlineLevel="0" collapsed="false">
      <c r="A5" s="2" t="s">
        <v>16</v>
      </c>
      <c r="B5" s="14" t="n">
        <f aca="false">NİSAN!$J$29</f>
        <v>13724.7642945</v>
      </c>
      <c r="C5" s="14"/>
      <c r="E5" s="15"/>
    </row>
    <row r="6" customFormat="false" ht="15" hidden="false" customHeight="false" outlineLevel="0" collapsed="false">
      <c r="A6" s="2" t="s">
        <v>17</v>
      </c>
      <c r="B6" s="14" t="n">
        <f aca="false">MAYIS!$J$29</f>
        <v>11956.373268525</v>
      </c>
      <c r="C6" s="14"/>
      <c r="E6" s="15"/>
    </row>
    <row r="7" customFormat="false" ht="15" hidden="false" customHeight="false" outlineLevel="0" collapsed="false">
      <c r="A7" s="2" t="s">
        <v>18</v>
      </c>
      <c r="B7" s="14" t="n">
        <f aca="false">HAZİRAN!$J$29</f>
        <v>6783.83762175</v>
      </c>
      <c r="C7" s="14"/>
      <c r="E7" s="15"/>
    </row>
    <row r="8" customFormat="false" ht="15" hidden="false" customHeight="false" outlineLevel="0" collapsed="false">
      <c r="A8" s="2" t="s">
        <v>19</v>
      </c>
      <c r="B8" s="14" t="n">
        <f aca="false">TEMMUZ!$J$29</f>
        <v>5743.709673975</v>
      </c>
      <c r="C8" s="14"/>
      <c r="E8" s="15"/>
    </row>
    <row r="9" customFormat="false" ht="15" hidden="false" customHeight="false" outlineLevel="0" collapsed="false">
      <c r="A9" s="2" t="s">
        <v>20</v>
      </c>
      <c r="B9" s="14" t="n">
        <f aca="false">AĞUSTOS!$J$29</f>
        <v>6146.766982125</v>
      </c>
      <c r="C9" s="14"/>
      <c r="E9" s="15"/>
    </row>
    <row r="10" customFormat="false" ht="15" hidden="false" customHeight="false" outlineLevel="0" collapsed="false">
      <c r="A10" s="2" t="s">
        <v>21</v>
      </c>
      <c r="B10" s="14" t="n">
        <f aca="false">EYLÜL!$J$29</f>
        <v>12536.93090475</v>
      </c>
      <c r="C10" s="14"/>
      <c r="E10" s="15"/>
    </row>
    <row r="11" customFormat="false" ht="15" hidden="false" customHeight="false" outlineLevel="0" collapsed="false">
      <c r="A11" s="2" t="s">
        <v>22</v>
      </c>
      <c r="B11" s="14" t="n">
        <f aca="false">EKİM!$J$29</f>
        <v>16633.264065075</v>
      </c>
      <c r="C11" s="14"/>
      <c r="E11" s="15"/>
    </row>
    <row r="12" customFormat="false" ht="15" hidden="false" customHeight="false" outlineLevel="0" collapsed="false">
      <c r="A12" s="2" t="s">
        <v>23</v>
      </c>
      <c r="B12" s="14" t="n">
        <f aca="false">KASIM!$J$29</f>
        <v>20240.73013725</v>
      </c>
      <c r="C12" s="14"/>
      <c r="E12" s="15"/>
    </row>
    <row r="13" customFormat="false" ht="15" hidden="false" customHeight="false" outlineLevel="0" collapsed="false">
      <c r="A13" s="2" t="s">
        <v>24</v>
      </c>
      <c r="B13" s="14" t="n">
        <f aca="false">ARALIK!$J$29</f>
        <v>22879.972550925</v>
      </c>
      <c r="C13" s="14"/>
      <c r="E13" s="15"/>
    </row>
    <row r="15" customFormat="false" ht="15" hidden="false" customHeight="false" outlineLevel="0" collapsed="false">
      <c r="A15" s="4" t="s">
        <v>9</v>
      </c>
      <c r="B15" s="11" t="n">
        <f aca="false">SUM(B2:B13)</f>
        <v>177520.634570475</v>
      </c>
      <c r="C15" s="11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851</TotalTime>
  <Application>LibreOffice/25.8.5.2$Windows_X86_64 LibreOffice_project/9c8b85f387cc00a89945a79c9e6239f32e450ac2</Application>
  <AppVersion>15.0000</AppVersion>
  <Company>Sakarya University</Compan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2020-03-02T18:05:06Z</dcterms:created>
  <dc:creator>BAYRAK</dc:creator>
  <dc:description/>
  <dc:language>tr-TR</dc:language>
  <cp:lastModifiedBy/>
  <dcterms:modified xsi:type="dcterms:W3CDTF">2026-05-13T01:38:33Z</dcterms:modified>
  <cp:revision>7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