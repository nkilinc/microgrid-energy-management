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CAK" sheetId="1" state="visible" r:id="rId3"/>
    <sheet name="ŞUBAT" sheetId="2" state="visible" r:id="rId4"/>
    <sheet name="MART" sheetId="3" state="visible" r:id="rId5"/>
    <sheet name="NİSAN" sheetId="4" state="visible" r:id="rId6"/>
    <sheet name="MAYIS" sheetId="5" state="visible" r:id="rId7"/>
    <sheet name="HAZİRAN" sheetId="6" state="visible" r:id="rId8"/>
    <sheet name="TEMMUZ" sheetId="7" state="visible" r:id="rId9"/>
    <sheet name="AĞUSTOS" sheetId="8" state="visible" r:id="rId10"/>
    <sheet name="EYLÜL" sheetId="9" state="visible" r:id="rId11"/>
    <sheet name="EKİM" sheetId="10" state="visible" r:id="rId12"/>
    <sheet name="KASIM" sheetId="11" state="visible" r:id="rId13"/>
    <sheet name="ARALIK" sheetId="12" state="visible" r:id="rId14"/>
    <sheet name="AYLIK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<sst xmlns="http://schemas.openxmlformats.org/spreadsheetml/2006/main" count="159" uniqueCount="26">
  <si>
    <t xml:space="preserve">Saat</t>
  </si>
  <si>
    <r>
      <rPr>
        <b val="true"/>
        <sz val="11"/>
        <color theme="1"/>
        <rFont val="Calibri"/>
        <family val="2"/>
        <charset val="162"/>
      </rPr>
      <t xml:space="preserve">Işıma (W/m</t>
    </r>
    <r>
      <rPr>
        <b val="true"/>
        <vertAlign val="superscript"/>
        <sz val="11"/>
        <color rgb="FF000000"/>
        <rFont val="Calibri"/>
        <family val="2"/>
        <charset val="162"/>
      </rPr>
      <t xml:space="preserve">2</t>
    </r>
    <r>
      <rPr>
        <b val="true"/>
        <sz val="11"/>
        <color rgb="FF000000"/>
        <rFont val="Calibri"/>
        <family val="2"/>
        <charset val="162"/>
      </rPr>
      <t xml:space="preserve">)</t>
    </r>
  </si>
  <si>
    <r>
      <rPr>
        <b val="true"/>
        <sz val="11"/>
        <color theme="1"/>
        <rFont val="Calibri"/>
        <family val="2"/>
        <charset val="162"/>
      </rPr>
      <t xml:space="preserve">Sıcaklık (</t>
    </r>
    <r>
      <rPr>
        <b val="true"/>
        <vertAlign val="superscript"/>
        <sz val="11"/>
        <color rgb="FF000000"/>
        <rFont val="Calibri"/>
        <family val="2"/>
        <charset val="162"/>
      </rPr>
      <t xml:space="preserve">o</t>
    </r>
    <r>
      <rPr>
        <b val="true"/>
        <sz val="11"/>
        <color rgb="FF000000"/>
        <rFont val="Calibri"/>
        <family val="2"/>
        <charset val="162"/>
      </rPr>
      <t xml:space="preserve">C)</t>
    </r>
  </si>
  <si>
    <r>
      <rPr>
        <b val="true"/>
        <sz val="11"/>
        <color theme="1"/>
        <rFont val="Calibri"/>
        <family val="2"/>
        <charset val="162"/>
      </rPr>
      <t xml:space="preserve">Modül Alanı (m</t>
    </r>
    <r>
      <rPr>
        <b val="true"/>
        <vertAlign val="superscript"/>
        <sz val="11"/>
        <color rgb="FF000000"/>
        <rFont val="Calibri"/>
        <family val="2"/>
        <charset val="162"/>
      </rPr>
      <t xml:space="preserve">2</t>
    </r>
    <r>
      <rPr>
        <b val="true"/>
        <sz val="11"/>
        <color rgb="FF000000"/>
        <rFont val="Calibri"/>
        <family val="2"/>
        <charset val="162"/>
      </rPr>
      <t xml:space="preserve">)</t>
    </r>
  </si>
  <si>
    <t xml:space="preserve">Modül Verimi</t>
  </si>
  <si>
    <t xml:space="preserve">Modül Sayısı</t>
  </si>
  <si>
    <t xml:space="preserve">Sıcaklık Katsayısı</t>
  </si>
  <si>
    <t xml:space="preserve">Sıcaklık Farkı</t>
  </si>
  <si>
    <t xml:space="preserve">İnverter Verimi</t>
  </si>
  <si>
    <t xml:space="preserve">Üretilen Güç (kW)</t>
  </si>
  <si>
    <t xml:space="preserve">TOPLAM</t>
  </si>
  <si>
    <t xml:space="preserve">Meteoroloji</t>
  </si>
  <si>
    <t xml:space="preserve">Aylar</t>
  </si>
  <si>
    <t xml:space="preserve">Üretilen Enerji (kWh)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</si>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</sst>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%0"/>
    <numFmt numFmtId="167" formatCode="hh:mm"/>
    <numFmt numFmtId="168" formatCode="0"/>
    <numFmt numFmtId="169" formatCode="0.0"/>
  </numFmts>
  <fonts count="9">
    <font>
      <sz val="11"/>
      <color theme="1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theme="1"/>
      <name val="Calibri"/>
      <family val="2"/>
      <charset val="162"/>
    </font>
    <font>
      <b val="true"/>
      <vertAlign val="superscript"/>
      <sz val="11"/>
      <color rgb="FF000000"/>
      <name val="Calibri"/>
      <family val="2"/>
      <charset val="162"/>
    </font>
    <font>
      <b val="true"/>
      <sz val="11"/>
      <color rgb="FF000000"/>
      <name val="Calibri"/>
      <family val="2"/>
      <charset val="162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8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Virgül 2" xfId="22"/>
    <cellStyle name="Yüzde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OCAK!$J$2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OCAK!$A$3:$A$26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OCAK!$J$3:$J$26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12.7609128</c:v>
                </c:pt>
                <c:pt idx="10">
                  <c:v>40.83492096</c:v>
                </c:pt>
                <c:pt idx="11">
                  <c:v>68.90892912</c:v>
                </c:pt>
                <c:pt idx="12">
                  <c:v>102.0873024</c:v>
                </c:pt>
                <c:pt idx="13">
                  <c:v>122.50476288</c:v>
                </c:pt>
                <c:pt idx="14">
                  <c:v>96.98293728</c:v>
                </c:pt>
                <c:pt idx="15">
                  <c:v>56.14801632</c:v>
                </c:pt>
                <c:pt idx="16">
                  <c:v>25.5218256</c:v>
                </c:pt>
                <c:pt idx="17">
                  <c:v>12.7609128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85982034"/>
        <c:axId val="80851143"/>
      </c:barChart>
      <c:catAx>
        <c:axId val="85982034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0851143"/>
        <c:crosses val="autoZero"/>
        <c:auto val="1"/>
        <c:lblAlgn val="ctr"/>
        <c:lblOffset val="100"/>
        <c:noMultiLvlLbl val="0"/>
      </c:catAx>
      <c:valAx>
        <c:axId val="808511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59820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ŞUBAT!$J$2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ŞUBAT!$A$3:$A$26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ŞUBAT!$J$3:$J$26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15.31309536</c:v>
                </c:pt>
                <c:pt idx="9">
                  <c:v>30.62619072</c:v>
                </c:pt>
                <c:pt idx="10">
                  <c:v>63.804564</c:v>
                </c:pt>
                <c:pt idx="11">
                  <c:v>94.43075472</c:v>
                </c:pt>
                <c:pt idx="12">
                  <c:v>127.609128</c:v>
                </c:pt>
                <c:pt idx="13">
                  <c:v>140.3700408</c:v>
                </c:pt>
                <c:pt idx="14">
                  <c:v>125.05694544</c:v>
                </c:pt>
                <c:pt idx="15">
                  <c:v>94.43075472</c:v>
                </c:pt>
                <c:pt idx="16">
                  <c:v>56.14801632</c:v>
                </c:pt>
                <c:pt idx="17">
                  <c:v>15.31309536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13346086"/>
        <c:axId val="28853183"/>
      </c:barChart>
      <c:catAx>
        <c:axId val="13346086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8853183"/>
        <c:crosses val="autoZero"/>
        <c:auto val="1"/>
        <c:lblAlgn val="ctr"/>
        <c:lblOffset val="100"/>
        <c:noMultiLvlLbl val="0"/>
      </c:catAx>
      <c:valAx>
        <c:axId val="288531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33460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MART!$J$2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MART!$A$3:$A$26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MART!$J$3:$J$26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12.7609128</c:v>
                </c:pt>
                <c:pt idx="9">
                  <c:v>38.2827384</c:v>
                </c:pt>
                <c:pt idx="10">
                  <c:v>71.46111168</c:v>
                </c:pt>
                <c:pt idx="11">
                  <c:v>104.63948496</c:v>
                </c:pt>
                <c:pt idx="12">
                  <c:v>133.51127986643</c:v>
                </c:pt>
                <c:pt idx="13">
                  <c:v>146.106683627414</c:v>
                </c:pt>
                <c:pt idx="14">
                  <c:v>133.9895844</c:v>
                </c:pt>
                <c:pt idx="15">
                  <c:v>102.0873024</c:v>
                </c:pt>
                <c:pt idx="16">
                  <c:v>70.1850204</c:v>
                </c:pt>
                <c:pt idx="17">
                  <c:v>35.73055584</c:v>
                </c:pt>
                <c:pt idx="18">
                  <c:v>15.31309536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62840361"/>
        <c:axId val="50454446"/>
      </c:barChart>
      <c:catAx>
        <c:axId val="62840361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50454446"/>
        <c:crosses val="autoZero"/>
        <c:auto val="1"/>
        <c:lblAlgn val="ctr"/>
        <c:lblOffset val="100"/>
        <c:noMultiLvlLbl val="0"/>
      </c:catAx>
      <c:valAx>
        <c:axId val="504544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62840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NİSAN!$J$2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NİSAN!$A$3:$A$26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NİSAN!$J$3:$J$26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10.20873024</c:v>
                </c:pt>
                <c:pt idx="8">
                  <c:v>33.17837328</c:v>
                </c:pt>
                <c:pt idx="9">
                  <c:v>66.35674656</c:v>
                </c:pt>
                <c:pt idx="10">
                  <c:v>104.63948496</c:v>
                </c:pt>
                <c:pt idx="11">
                  <c:v>142.06469001984</c:v>
                </c:pt>
                <c:pt idx="12">
                  <c:v>163.403488404</c:v>
                </c:pt>
                <c:pt idx="13">
                  <c:v>175.4370291744</c:v>
                </c:pt>
                <c:pt idx="14">
                  <c:v>160.8895885824</c:v>
                </c:pt>
                <c:pt idx="15">
                  <c:v>139.1067104328</c:v>
                </c:pt>
                <c:pt idx="16">
                  <c:v>104.63948496</c:v>
                </c:pt>
                <c:pt idx="17">
                  <c:v>76.5654768</c:v>
                </c:pt>
                <c:pt idx="18">
                  <c:v>43.38710352</c:v>
                </c:pt>
                <c:pt idx="19">
                  <c:v>15.31309536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74665507"/>
        <c:axId val="87892745"/>
      </c:barChart>
      <c:catAx>
        <c:axId val="74665507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7892745"/>
        <c:crosses val="autoZero"/>
        <c:auto val="1"/>
        <c:lblAlgn val="ctr"/>
        <c:lblOffset val="100"/>
        <c:noMultiLvlLbl val="0"/>
      </c:catAx>
      <c:valAx>
        <c:axId val="878927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74665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MAYIS!$J$2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MAYIS!$A$3:$A$26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MAYIS!$J$3:$J$26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15.31309536</c:v>
                </c:pt>
                <c:pt idx="8">
                  <c:v>45.93928608</c:v>
                </c:pt>
                <c:pt idx="9">
                  <c:v>89.3263896</c:v>
                </c:pt>
                <c:pt idx="10">
                  <c:v>124.30660376736</c:v>
                </c:pt>
                <c:pt idx="11">
                  <c:v>151.2933821568</c:v>
                </c:pt>
                <c:pt idx="12">
                  <c:v>172.40248411056</c:v>
                </c:pt>
                <c:pt idx="13">
                  <c:v>181.83790303488</c:v>
                </c:pt>
                <c:pt idx="14">
                  <c:v>168.86260689984</c:v>
                </c:pt>
                <c:pt idx="15">
                  <c:v>152.41379030064</c:v>
                </c:pt>
                <c:pt idx="16">
                  <c:v>126.077818464</c:v>
                </c:pt>
                <c:pt idx="17">
                  <c:v>98.93790912096</c:v>
                </c:pt>
                <c:pt idx="18">
                  <c:v>71.46111168</c:v>
                </c:pt>
                <c:pt idx="19">
                  <c:v>38.2827384</c:v>
                </c:pt>
                <c:pt idx="20">
                  <c:v>12.7609128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63658315"/>
        <c:axId val="31145122"/>
      </c:barChart>
      <c:catAx>
        <c:axId val="63658315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31145122"/>
        <c:crosses val="autoZero"/>
        <c:auto val="1"/>
        <c:lblAlgn val="ctr"/>
        <c:lblOffset val="100"/>
        <c:noMultiLvlLbl val="0"/>
      </c:catAx>
      <c:valAx>
        <c:axId val="311451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63658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HAZİRAN!$J$2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HAZİRAN!$A$3:$A$26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HAZİRAN!$J$3:$J$26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10.20873024</c:v>
                </c:pt>
                <c:pt idx="7">
                  <c:v>30.62619072</c:v>
                </c:pt>
                <c:pt idx="8">
                  <c:v>58.70019888</c:v>
                </c:pt>
                <c:pt idx="9">
                  <c:v>96.98293728</c:v>
                </c:pt>
                <c:pt idx="10">
                  <c:v>140.7783900096</c:v>
                </c:pt>
                <c:pt idx="11">
                  <c:v>180.7200470736</c:v>
                </c:pt>
                <c:pt idx="12">
                  <c:v>204.20523099072</c:v>
                </c:pt>
                <c:pt idx="13">
                  <c:v>215.15919853824</c:v>
                </c:pt>
                <c:pt idx="14">
                  <c:v>200.48925318336</c:v>
                </c:pt>
                <c:pt idx="15">
                  <c:v>172.2212791488</c:v>
                </c:pt>
                <c:pt idx="16">
                  <c:v>141.98302017792</c:v>
                </c:pt>
                <c:pt idx="17">
                  <c:v>98.63930376144</c:v>
                </c:pt>
                <c:pt idx="18">
                  <c:v>68.70220233264</c:v>
                </c:pt>
                <c:pt idx="19">
                  <c:v>40.83492096</c:v>
                </c:pt>
                <c:pt idx="20">
                  <c:v>12.7609128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81174648"/>
        <c:axId val="97359673"/>
      </c:barChart>
      <c:catAx>
        <c:axId val="81174648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97359673"/>
        <c:crosses val="autoZero"/>
        <c:auto val="1"/>
        <c:lblAlgn val="ctr"/>
        <c:lblOffset val="100"/>
        <c:noMultiLvlLbl val="0"/>
      </c:catAx>
      <c:valAx>
        <c:axId val="973596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1174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Temmuz Ayı </a:t>
            </a: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TEMMUZ!$J$2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TEMMUZ!$A$3:$A$26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TEMMUZ!$J$3:$J$26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12.7609128</c:v>
                </c:pt>
                <c:pt idx="7">
                  <c:v>38.2827384</c:v>
                </c:pt>
                <c:pt idx="8">
                  <c:v>63.421736616</c:v>
                </c:pt>
                <c:pt idx="9">
                  <c:v>100.555992864</c:v>
                </c:pt>
                <c:pt idx="10">
                  <c:v>148.9964178528</c:v>
                </c:pt>
                <c:pt idx="11">
                  <c:v>177.14188712448</c:v>
                </c:pt>
                <c:pt idx="12">
                  <c:v>204.7360849632</c:v>
                </c:pt>
                <c:pt idx="13">
                  <c:v>217.2928231584</c:v>
                </c:pt>
                <c:pt idx="14">
                  <c:v>200.96013086568</c:v>
                </c:pt>
                <c:pt idx="15">
                  <c:v>175.0414408776</c:v>
                </c:pt>
                <c:pt idx="16">
                  <c:v>141.3653919984</c:v>
                </c:pt>
                <c:pt idx="17">
                  <c:v>98.4121595136</c:v>
                </c:pt>
                <c:pt idx="18">
                  <c:v>72.01493529552</c:v>
                </c:pt>
                <c:pt idx="19">
                  <c:v>42.7362969672</c:v>
                </c:pt>
                <c:pt idx="20">
                  <c:v>12.6460645848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81697220"/>
        <c:axId val="31242212"/>
      </c:barChart>
      <c:catAx>
        <c:axId val="81697220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31242212"/>
        <c:crosses val="autoZero"/>
        <c:auto val="1"/>
        <c:lblAlgn val="ctr"/>
        <c:lblOffset val="100"/>
        <c:noMultiLvlLbl val="0"/>
      </c:catAx>
      <c:valAx>
        <c:axId val="312422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1697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AĞUSTOS!$J$2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AĞUSTOS!$A$3:$A$26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AĞUSTOS!$J$3:$J$26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17.70449041872</c:v>
                </c:pt>
                <c:pt idx="8">
                  <c:v>57.99579649344</c:v>
                </c:pt>
                <c:pt idx="9">
                  <c:v>92.73100113504</c:v>
                </c:pt>
                <c:pt idx="10">
                  <c:v>126.64695517488</c:v>
                </c:pt>
                <c:pt idx="11">
                  <c:v>162.38006319744</c:v>
                </c:pt>
                <c:pt idx="12">
                  <c:v>186.49563620688</c:v>
                </c:pt>
                <c:pt idx="13">
                  <c:v>197.35006863456</c:v>
                </c:pt>
                <c:pt idx="14">
                  <c:v>182.3279220864</c:v>
                </c:pt>
                <c:pt idx="15">
                  <c:v>159.34807031616</c:v>
                </c:pt>
                <c:pt idx="16">
                  <c:v>126.7413859296</c:v>
                </c:pt>
                <c:pt idx="17">
                  <c:v>86.3786187432</c:v>
                </c:pt>
                <c:pt idx="18">
                  <c:v>55.3057960752</c:v>
                </c:pt>
                <c:pt idx="19">
                  <c:v>32.87976792048</c:v>
                </c:pt>
                <c:pt idx="20">
                  <c:v>10.14747785856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1623466"/>
        <c:axId val="74313411"/>
      </c:barChart>
      <c:catAx>
        <c:axId val="1623466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74313411"/>
        <c:crosses val="autoZero"/>
        <c:auto val="1"/>
        <c:lblAlgn val="ctr"/>
        <c:lblOffset val="100"/>
        <c:noMultiLvlLbl val="0"/>
      </c:catAx>
      <c:valAx>
        <c:axId val="743134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623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EYLÜL!$J$2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EYLÜL!$A$3:$A$26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EYLÜL!$J$3:$J$26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12.7609128</c:v>
                </c:pt>
                <c:pt idx="8">
                  <c:v>43.38710352</c:v>
                </c:pt>
                <c:pt idx="9">
                  <c:v>74.01329424</c:v>
                </c:pt>
                <c:pt idx="10">
                  <c:v>101.7810404928</c:v>
                </c:pt>
                <c:pt idx="11">
                  <c:v>130.7227907232</c:v>
                </c:pt>
                <c:pt idx="12">
                  <c:v>153.4882591584</c:v>
                </c:pt>
                <c:pt idx="13">
                  <c:v>167.82131641536</c:v>
                </c:pt>
                <c:pt idx="14">
                  <c:v>153.4882591584</c:v>
                </c:pt>
                <c:pt idx="15">
                  <c:v>132.42509649072</c:v>
                </c:pt>
                <c:pt idx="16">
                  <c:v>103.69772959536</c:v>
                </c:pt>
                <c:pt idx="17">
                  <c:v>74.01329424</c:v>
                </c:pt>
                <c:pt idx="18">
                  <c:v>44.6631948</c:v>
                </c:pt>
                <c:pt idx="19">
                  <c:v>12.7609128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13842677"/>
        <c:axId val="28976572"/>
      </c:barChart>
      <c:catAx>
        <c:axId val="13842677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8976572"/>
        <c:crosses val="autoZero"/>
        <c:auto val="1"/>
        <c:lblAlgn val="ctr"/>
        <c:lblOffset val="100"/>
        <c:noMultiLvlLbl val="0"/>
      </c:catAx>
      <c:valAx>
        <c:axId val="289765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3842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EKİM!$J$2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EKİM!$A$3:$A$26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EKİM!$J$3:$J$26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10.20873024</c:v>
                </c:pt>
                <c:pt idx="9">
                  <c:v>30.62619072</c:v>
                </c:pt>
                <c:pt idx="10">
                  <c:v>61.25238144</c:v>
                </c:pt>
                <c:pt idx="11">
                  <c:v>94.43075472</c:v>
                </c:pt>
                <c:pt idx="12">
                  <c:v>119.59272257904</c:v>
                </c:pt>
                <c:pt idx="13">
                  <c:v>131.51907168192</c:v>
                </c:pt>
                <c:pt idx="14">
                  <c:v>116.69599537344</c:v>
                </c:pt>
                <c:pt idx="15">
                  <c:v>96.98293728</c:v>
                </c:pt>
                <c:pt idx="16">
                  <c:v>66.35674656</c:v>
                </c:pt>
                <c:pt idx="17">
                  <c:v>35.73055584</c:v>
                </c:pt>
                <c:pt idx="18">
                  <c:v>12.7609128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13189435"/>
        <c:axId val="28348885"/>
      </c:barChart>
      <c:catAx>
        <c:axId val="13189435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8348885"/>
        <c:crosses val="autoZero"/>
        <c:auto val="1"/>
        <c:lblAlgn val="ctr"/>
        <c:lblOffset val="100"/>
        <c:noMultiLvlLbl val="0"/>
      </c:catAx>
      <c:valAx>
        <c:axId val="283488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31894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KASIM!$J$2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KASIM!$A$3:$A$26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KASIM!$J$3:$J$26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12.7609128</c:v>
                </c:pt>
                <c:pt idx="9">
                  <c:v>30.62619072</c:v>
                </c:pt>
                <c:pt idx="10">
                  <c:v>53.59583376</c:v>
                </c:pt>
                <c:pt idx="11">
                  <c:v>81.66984192</c:v>
                </c:pt>
                <c:pt idx="12">
                  <c:v>104.63948496</c:v>
                </c:pt>
                <c:pt idx="13">
                  <c:v>112.29603264</c:v>
                </c:pt>
                <c:pt idx="14">
                  <c:v>102.0873024</c:v>
                </c:pt>
                <c:pt idx="15">
                  <c:v>71.46111168</c:v>
                </c:pt>
                <c:pt idx="16">
                  <c:v>30.62619072</c:v>
                </c:pt>
                <c:pt idx="17">
                  <c:v>10.20873024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68423743"/>
        <c:axId val="28821250"/>
      </c:barChart>
      <c:catAx>
        <c:axId val="68423743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8821250"/>
        <c:crosses val="autoZero"/>
        <c:auto val="1"/>
        <c:lblAlgn val="ctr"/>
        <c:lblOffset val="100"/>
        <c:noMultiLvlLbl val="0"/>
      </c:catAx>
      <c:valAx>
        <c:axId val="288212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684237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Aralık Ayı </a:t>
            </a: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ARALIK!$J$2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ARALIK!$A$3:$A$26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ARALIK!$J$3:$J$26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15.31309536</c:v>
                </c:pt>
                <c:pt idx="10">
                  <c:v>35.73055584</c:v>
                </c:pt>
                <c:pt idx="11">
                  <c:v>56.14801632</c:v>
                </c:pt>
                <c:pt idx="12">
                  <c:v>74.01329424</c:v>
                </c:pt>
                <c:pt idx="13">
                  <c:v>84.22202448</c:v>
                </c:pt>
                <c:pt idx="14">
                  <c:v>71.46111168</c:v>
                </c:pt>
                <c:pt idx="15">
                  <c:v>45.93928608</c:v>
                </c:pt>
                <c:pt idx="16">
                  <c:v>17.86527792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219"/>
        <c:overlap val="-27"/>
        <c:axId val="26185378"/>
        <c:axId val="80673228"/>
      </c:barChart>
      <c:catAx>
        <c:axId val="26185378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0673228"/>
        <c:crosses val="autoZero"/>
        <c:auto val="1"/>
        <c:lblAlgn val="ctr"/>
        <c:lblOffset val="100"/>
        <c:noMultiLvlLbl val="0"/>
      </c:catAx>
      <c:valAx>
        <c:axId val="806732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6185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Enerji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AYLIK!$B$1</c:f>
              <c:strCache>
                <c:ptCount val="1"/>
                <c:pt idx="0">
                  <c:v>Üretilen Enerji (kWh)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AYLIK!$A$2:$A$13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AYLIK!$B$2:$B$13</c:f>
              <c:numCache>
                <c:formatCode>0</c:formatCode>
                <c:ptCount val="12"/>
                <c:pt idx="0">
                  <c:v>15859.134818712</c:v>
                </c:pt>
                <c:pt idx="1">
                  <c:v>21023.476228872</c:v>
                </c:pt>
                <c:pt idx="2">
                  <c:v>25446.7958186617</c:v>
                </c:pt>
                <c:pt idx="3">
                  <c:v>35202.915065363</c:v>
                </c:pt>
                <c:pt idx="4">
                  <c:v>42679.4121357749</c:v>
                </c:pt>
                <c:pt idx="5">
                  <c:v>47680.8367587451</c:v>
                </c:pt>
                <c:pt idx="6">
                  <c:v>50252.4496588155</c:v>
                </c:pt>
                <c:pt idx="7">
                  <c:v>44011.053328112</c:v>
                </c:pt>
                <c:pt idx="8">
                  <c:v>34343.1613263758</c:v>
                </c:pt>
                <c:pt idx="9">
                  <c:v>22857.8236274531</c:v>
                </c:pt>
                <c:pt idx="10">
                  <c:v>17384.19150744</c:v>
                </c:pt>
                <c:pt idx="11">
                  <c:v>11800.398893544</c:v>
                </c:pt>
              </c:numCache>
            </c:numRef>
          </c:val>
        </c:ser>
        <c:gapWidth val="219"/>
        <c:overlap val="-27"/>
        <c:axId val="91669900"/>
        <c:axId val="13743103"/>
      </c:barChart>
      <c:catAx>
        <c:axId val="916699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3743103"/>
        <c:crosses val="autoZero"/>
        <c:auto val="1"/>
        <c:lblAlgn val="ctr"/>
        <c:lblOffset val="100"/>
        <c:noMultiLvlLbl val="0"/>
      </c:catAx>
      <c:valAx>
        <c:axId val="137431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91669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700920</xdr:colOff>
      <xdr:row>0</xdr:row>
      <xdr:rowOff>160200</xdr:rowOff>
    </xdr:from>
    <xdr:to>
      <xdr:col>18</xdr:col>
      <xdr:colOff>12240</xdr:colOff>
      <xdr:row>14</xdr:row>
      <xdr:rowOff>125640</xdr:rowOff>
    </xdr:to>
    <xdr:graphicFrame>
      <xdr:nvGraphicFramePr>
        <xdr:cNvPr id="1" name="Grafik 1"/>
        <xdr:cNvGraphicFramePr/>
      </xdr:nvGraphicFramePr>
      <xdr:xfrm>
        <a:off x="9479880" y="160200"/>
        <a:ext cx="4555080" cy="263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152280</xdr:rowOff>
    </xdr:from>
    <xdr:to>
      <xdr:col>18</xdr:col>
      <xdr:colOff>309600</xdr:colOff>
      <xdr:row>14</xdr:row>
      <xdr:rowOff>117720</xdr:rowOff>
    </xdr:to>
    <xdr:graphicFrame>
      <xdr:nvGraphicFramePr>
        <xdr:cNvPr id="2" name="Grafik 1"/>
        <xdr:cNvGraphicFramePr/>
      </xdr:nvGraphicFramePr>
      <xdr:xfrm>
        <a:off x="9803160" y="152280"/>
        <a:ext cx="4529160" cy="263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182880</xdr:rowOff>
    </xdr:from>
    <xdr:to>
      <xdr:col>18</xdr:col>
      <xdr:colOff>309600</xdr:colOff>
      <xdr:row>14</xdr:row>
      <xdr:rowOff>155880</xdr:rowOff>
    </xdr:to>
    <xdr:graphicFrame>
      <xdr:nvGraphicFramePr>
        <xdr:cNvPr id="3" name="Grafik 1"/>
        <xdr:cNvGraphicFramePr/>
      </xdr:nvGraphicFramePr>
      <xdr:xfrm>
        <a:off x="9803160" y="182880"/>
        <a:ext cx="4529160" cy="263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182880</xdr:rowOff>
    </xdr:from>
    <xdr:to>
      <xdr:col>18</xdr:col>
      <xdr:colOff>309600</xdr:colOff>
      <xdr:row>14</xdr:row>
      <xdr:rowOff>155880</xdr:rowOff>
    </xdr:to>
    <xdr:graphicFrame>
      <xdr:nvGraphicFramePr>
        <xdr:cNvPr id="4" name="Grafik 1"/>
        <xdr:cNvGraphicFramePr/>
      </xdr:nvGraphicFramePr>
      <xdr:xfrm>
        <a:off x="9803160" y="182880"/>
        <a:ext cx="4529160" cy="263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62640</xdr:colOff>
      <xdr:row>3</xdr:row>
      <xdr:rowOff>174240</xdr:rowOff>
    </xdr:from>
    <xdr:to>
      <xdr:col>16</xdr:col>
      <xdr:colOff>555840</xdr:colOff>
      <xdr:row>17</xdr:row>
      <xdr:rowOff>147240</xdr:rowOff>
    </xdr:to>
    <xdr:graphicFrame>
      <xdr:nvGraphicFramePr>
        <xdr:cNvPr id="5" name="Grafik 1"/>
        <xdr:cNvGraphicFramePr/>
      </xdr:nvGraphicFramePr>
      <xdr:xfrm>
        <a:off x="8841600" y="745920"/>
        <a:ext cx="4569840" cy="263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182880</xdr:rowOff>
    </xdr:from>
    <xdr:to>
      <xdr:col>18</xdr:col>
      <xdr:colOff>309600</xdr:colOff>
      <xdr:row>14</xdr:row>
      <xdr:rowOff>155880</xdr:rowOff>
    </xdr:to>
    <xdr:graphicFrame>
      <xdr:nvGraphicFramePr>
        <xdr:cNvPr id="6" name="Grafik 1"/>
        <xdr:cNvGraphicFramePr/>
      </xdr:nvGraphicFramePr>
      <xdr:xfrm>
        <a:off x="9803160" y="182880"/>
        <a:ext cx="4549320" cy="263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975240</xdr:colOff>
      <xdr:row>0</xdr:row>
      <xdr:rowOff>182880</xdr:rowOff>
    </xdr:from>
    <xdr:to>
      <xdr:col>18</xdr:col>
      <xdr:colOff>286560</xdr:colOff>
      <xdr:row>14</xdr:row>
      <xdr:rowOff>155880</xdr:rowOff>
    </xdr:to>
    <xdr:graphicFrame>
      <xdr:nvGraphicFramePr>
        <xdr:cNvPr id="7" name="Grafik 1"/>
        <xdr:cNvGraphicFramePr/>
      </xdr:nvGraphicFramePr>
      <xdr:xfrm>
        <a:off x="9754200" y="182880"/>
        <a:ext cx="4555080" cy="263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1</xdr:row>
      <xdr:rowOff>15480</xdr:rowOff>
    </xdr:from>
    <xdr:to>
      <xdr:col>18</xdr:col>
      <xdr:colOff>309600</xdr:colOff>
      <xdr:row>14</xdr:row>
      <xdr:rowOff>171000</xdr:rowOff>
    </xdr:to>
    <xdr:graphicFrame>
      <xdr:nvGraphicFramePr>
        <xdr:cNvPr id="8" name="Grafik 1"/>
        <xdr:cNvGraphicFramePr/>
      </xdr:nvGraphicFramePr>
      <xdr:xfrm>
        <a:off x="9803160" y="205920"/>
        <a:ext cx="4529160" cy="263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952560</xdr:colOff>
      <xdr:row>1</xdr:row>
      <xdr:rowOff>0</xdr:rowOff>
    </xdr:from>
    <xdr:to>
      <xdr:col>18</xdr:col>
      <xdr:colOff>263880</xdr:colOff>
      <xdr:row>14</xdr:row>
      <xdr:rowOff>163440</xdr:rowOff>
    </xdr:to>
    <xdr:graphicFrame>
      <xdr:nvGraphicFramePr>
        <xdr:cNvPr id="9" name="Grafik 1"/>
        <xdr:cNvGraphicFramePr/>
      </xdr:nvGraphicFramePr>
      <xdr:xfrm>
        <a:off x="9731520" y="190440"/>
        <a:ext cx="4555080" cy="263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967680</xdr:colOff>
      <xdr:row>1</xdr:row>
      <xdr:rowOff>7920</xdr:rowOff>
    </xdr:from>
    <xdr:to>
      <xdr:col>18</xdr:col>
      <xdr:colOff>279000</xdr:colOff>
      <xdr:row>14</xdr:row>
      <xdr:rowOff>178920</xdr:rowOff>
    </xdr:to>
    <xdr:graphicFrame>
      <xdr:nvGraphicFramePr>
        <xdr:cNvPr id="10" name="Grafik 1"/>
        <xdr:cNvGraphicFramePr/>
      </xdr:nvGraphicFramePr>
      <xdr:xfrm>
        <a:off x="9746640" y="198360"/>
        <a:ext cx="4575240" cy="264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983160</xdr:colOff>
      <xdr:row>1</xdr:row>
      <xdr:rowOff>7920</xdr:rowOff>
    </xdr:from>
    <xdr:to>
      <xdr:col>18</xdr:col>
      <xdr:colOff>294480</xdr:colOff>
      <xdr:row>14</xdr:row>
      <xdr:rowOff>178920</xdr:rowOff>
    </xdr:to>
    <xdr:graphicFrame>
      <xdr:nvGraphicFramePr>
        <xdr:cNvPr id="11" name="Grafik 1"/>
        <xdr:cNvGraphicFramePr/>
      </xdr:nvGraphicFramePr>
      <xdr:xfrm>
        <a:off x="9762120" y="198360"/>
        <a:ext cx="4555080" cy="264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182880</xdr:rowOff>
    </xdr:from>
    <xdr:to>
      <xdr:col>18</xdr:col>
      <xdr:colOff>309600</xdr:colOff>
      <xdr:row>14</xdr:row>
      <xdr:rowOff>155880</xdr:rowOff>
    </xdr:to>
    <xdr:graphicFrame>
      <xdr:nvGraphicFramePr>
        <xdr:cNvPr id="12" name="Grafik 1"/>
        <xdr:cNvGraphicFramePr/>
      </xdr:nvGraphicFramePr>
      <xdr:xfrm>
        <a:off x="9803160" y="182880"/>
        <a:ext cx="4529160" cy="263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157680</xdr:colOff>
      <xdr:row>1</xdr:row>
      <xdr:rowOff>55800</xdr:rowOff>
    </xdr:from>
    <xdr:to>
      <xdr:col>9</xdr:col>
      <xdr:colOff>22680</xdr:colOff>
      <xdr:row>16</xdr:row>
      <xdr:rowOff>37800</xdr:rowOff>
    </xdr:to>
    <xdr:graphicFrame>
      <xdr:nvGraphicFramePr>
        <xdr:cNvPr id="13" name="Grafik 4"/>
        <xdr:cNvGraphicFramePr/>
      </xdr:nvGraphicFramePr>
      <xdr:xfrm>
        <a:off x="2080440" y="246240"/>
        <a:ext cx="4525200" cy="283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5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4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4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  <c r="L5" s="2"/>
      <c r="M5" s="2"/>
      <c r="N5" s="2"/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4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  <c r="L6" s="2"/>
      <c r="M6" s="2"/>
      <c r="N6" s="2"/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4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  <c r="L7" s="2"/>
      <c r="M7" s="2"/>
      <c r="N7" s="2"/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4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  <c r="L8" s="2"/>
      <c r="M8" s="2"/>
      <c r="N8" s="2"/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5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0</v>
      </c>
      <c r="L9" s="2"/>
      <c r="M9" s="2"/>
      <c r="N9" s="2"/>
    </row>
    <row r="10" customFormat="false" ht="15" hidden="false" customHeight="false" outlineLevel="0" collapsed="false">
      <c r="A10" s="5" t="n">
        <v>0.291666666666667</v>
      </c>
      <c r="B10" s="2" t="n">
        <v>0</v>
      </c>
      <c r="C10" s="2" t="n">
        <v>6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0</v>
      </c>
      <c r="L10" s="2"/>
      <c r="M10" s="2"/>
      <c r="N10" s="2"/>
    </row>
    <row r="11" customFormat="false" ht="15" hidden="false" customHeight="false" outlineLevel="0" collapsed="false">
      <c r="A11" s="5" t="n">
        <v>0.333333333333333</v>
      </c>
      <c r="B11" s="2" t="n">
        <v>0</v>
      </c>
      <c r="C11" s="2" t="n">
        <v>8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0</v>
      </c>
      <c r="L11" s="2"/>
      <c r="M11" s="2"/>
      <c r="N11" s="2"/>
    </row>
    <row r="12" customFormat="false" ht="15" hidden="false" customHeight="false" outlineLevel="0" collapsed="false">
      <c r="A12" s="5" t="n">
        <v>0.375</v>
      </c>
      <c r="B12" s="2" t="n">
        <v>50</v>
      </c>
      <c r="C12" s="2" t="n">
        <v>10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12.7609128</v>
      </c>
      <c r="L12" s="2"/>
      <c r="M12" s="2"/>
      <c r="N12" s="2"/>
    </row>
    <row r="13" customFormat="false" ht="15" hidden="false" customHeight="false" outlineLevel="0" collapsed="false">
      <c r="A13" s="5" t="n">
        <v>0.416666666666667</v>
      </c>
      <c r="B13" s="2" t="n">
        <v>160</v>
      </c>
      <c r="C13" s="2" t="n">
        <v>13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0</v>
      </c>
      <c r="I13" s="2" t="n">
        <v>0.983</v>
      </c>
      <c r="J13" s="6" t="n">
        <f aca="false">B13*D13*E13*F13*I13/1000*(100-G13*H13)/100</f>
        <v>40.83492096</v>
      </c>
      <c r="L13" s="2"/>
      <c r="M13" s="2"/>
      <c r="N13" s="2"/>
    </row>
    <row r="14" customFormat="false" ht="15" hidden="false" customHeight="false" outlineLevel="0" collapsed="false">
      <c r="A14" s="5" t="n">
        <v>0.458333333333333</v>
      </c>
      <c r="B14" s="2" t="n">
        <v>270</v>
      </c>
      <c r="C14" s="2" t="n">
        <v>18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0</v>
      </c>
      <c r="I14" s="2" t="n">
        <v>0.983</v>
      </c>
      <c r="J14" s="6" t="n">
        <f aca="false">B14*D14*E14*F14*I14/1000*(100-G14*H14)/100</f>
        <v>68.90892912</v>
      </c>
      <c r="L14" s="2"/>
      <c r="M14" s="2"/>
      <c r="N14" s="2"/>
    </row>
    <row r="15" customFormat="false" ht="15" hidden="false" customHeight="false" outlineLevel="0" collapsed="false">
      <c r="A15" s="5" t="n">
        <v>0.5</v>
      </c>
      <c r="B15" s="2" t="n">
        <v>400</v>
      </c>
      <c r="C15" s="2" t="n">
        <v>22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0</v>
      </c>
      <c r="I15" s="2" t="n">
        <v>0.983</v>
      </c>
      <c r="J15" s="6" t="n">
        <f aca="false">B15*D15*E15*F15*I15/1000*(100-G15*H15)/100</f>
        <v>102.0873024</v>
      </c>
      <c r="L15" s="2"/>
      <c r="M15" s="2"/>
      <c r="N15" s="2"/>
    </row>
    <row r="16" customFormat="false" ht="15" hidden="false" customHeight="false" outlineLevel="0" collapsed="false">
      <c r="A16" s="5" t="n">
        <v>0.541666666666667</v>
      </c>
      <c r="B16" s="2" t="n">
        <v>480</v>
      </c>
      <c r="C16" s="2" t="n">
        <v>23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0</v>
      </c>
      <c r="I16" s="2" t="n">
        <v>0.983</v>
      </c>
      <c r="J16" s="6" t="n">
        <f aca="false">B16*D16*E16*F16*I16/1000*(100-G16*H16)/100</f>
        <v>122.50476288</v>
      </c>
      <c r="L16" s="2"/>
      <c r="M16" s="2"/>
      <c r="N16" s="2"/>
    </row>
    <row r="17" customFormat="false" ht="15" hidden="false" customHeight="false" outlineLevel="0" collapsed="false">
      <c r="A17" s="5" t="n">
        <v>0.583333333333333</v>
      </c>
      <c r="B17" s="2" t="n">
        <v>380</v>
      </c>
      <c r="C17" s="2" t="n">
        <v>22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0</v>
      </c>
      <c r="I17" s="2" t="n">
        <v>0.983</v>
      </c>
      <c r="J17" s="6" t="n">
        <f aca="false">B17*D17*E17*F17*I17/1000*(100-G17*H17)/100</f>
        <v>96.98293728</v>
      </c>
      <c r="L17" s="2"/>
      <c r="M17" s="2"/>
      <c r="N17" s="2"/>
    </row>
    <row r="18" customFormat="false" ht="15" hidden="false" customHeight="false" outlineLevel="0" collapsed="false">
      <c r="A18" s="5" t="n">
        <v>0.625</v>
      </c>
      <c r="B18" s="2" t="n">
        <v>220</v>
      </c>
      <c r="C18" s="2" t="n">
        <v>19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0</v>
      </c>
      <c r="I18" s="2" t="n">
        <v>0.983</v>
      </c>
      <c r="J18" s="6" t="n">
        <f aca="false">B18*D18*E18*F18*I18/1000*(100-G18*H18)/100</f>
        <v>56.14801632</v>
      </c>
      <c r="L18" s="2"/>
      <c r="M18" s="2"/>
      <c r="N18" s="2"/>
    </row>
    <row r="19" customFormat="false" ht="15" hidden="false" customHeight="false" outlineLevel="0" collapsed="false">
      <c r="A19" s="5" t="n">
        <v>0.666666666666667</v>
      </c>
      <c r="B19" s="2" t="n">
        <v>100</v>
      </c>
      <c r="C19" s="2" t="n">
        <v>14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0</v>
      </c>
      <c r="I19" s="2" t="n">
        <v>0.983</v>
      </c>
      <c r="J19" s="6" t="n">
        <f aca="false">B19*D19*E19*F19*I19/1000*(100-G19*H19)/100</f>
        <v>25.5218256</v>
      </c>
      <c r="L19" s="2"/>
      <c r="M19" s="2"/>
      <c r="N19" s="2"/>
    </row>
    <row r="20" customFormat="false" ht="15" hidden="false" customHeight="false" outlineLevel="0" collapsed="false">
      <c r="A20" s="5" t="n">
        <v>0.708333333333333</v>
      </c>
      <c r="B20" s="2" t="n">
        <v>50</v>
      </c>
      <c r="C20" s="2" t="n">
        <v>10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0</v>
      </c>
      <c r="I20" s="2" t="n">
        <v>0.983</v>
      </c>
      <c r="J20" s="6" t="n">
        <f aca="false">B20*D20*E20*F20*I20/1000*(100-G20*H20)/100</f>
        <v>12.7609128</v>
      </c>
      <c r="L20" s="2"/>
      <c r="M20" s="2"/>
      <c r="N20" s="2"/>
    </row>
    <row r="21" customFormat="false" ht="15" hidden="false" customHeight="false" outlineLevel="0" collapsed="false">
      <c r="A21" s="5" t="n">
        <v>0.75</v>
      </c>
      <c r="B21" s="2" t="n">
        <v>0</v>
      </c>
      <c r="C21" s="2" t="n">
        <v>8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B21*D21*E21*F21*I21/1000*(100-G21*H21)/100</f>
        <v>0</v>
      </c>
      <c r="L21" s="2"/>
      <c r="M21" s="2"/>
      <c r="N21" s="2"/>
    </row>
    <row r="22" customFormat="false" ht="15" hidden="false" customHeight="false" outlineLevel="0" collapsed="false">
      <c r="A22" s="5" t="n">
        <v>0.791666666666667</v>
      </c>
      <c r="B22" s="2" t="n">
        <v>0</v>
      </c>
      <c r="C22" s="2" t="n">
        <v>7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0</v>
      </c>
      <c r="L22" s="2"/>
      <c r="M22" s="2"/>
      <c r="N22" s="2"/>
    </row>
    <row r="23" customFormat="false" ht="15" hidden="false" customHeight="false" outlineLevel="0" collapsed="false">
      <c r="A23" s="5" t="n">
        <v>0.833333333333333</v>
      </c>
      <c r="B23" s="2" t="n">
        <v>0</v>
      </c>
      <c r="C23" s="2" t="n">
        <v>6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0</v>
      </c>
      <c r="L23" s="2"/>
      <c r="M23" s="2"/>
      <c r="N23" s="2"/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6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  <c r="L24" s="2"/>
      <c r="M24" s="2"/>
      <c r="N24" s="2"/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5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  <c r="L25" s="2"/>
      <c r="M25" s="2"/>
      <c r="N25" s="2"/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5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F27" s="2"/>
      <c r="J27" s="7" t="n">
        <f aca="false">SUM(J3:J26)</f>
        <v>538.51052016</v>
      </c>
    </row>
    <row r="28" customFormat="false" ht="15" hidden="false" customHeight="false" outlineLevel="0" collapsed="false">
      <c r="F28" s="2"/>
    </row>
    <row r="29" customFormat="false" ht="15" hidden="false" customHeight="false" outlineLevel="0" collapsed="false">
      <c r="B29" s="7" t="n">
        <f aca="false">SUM(B3:B26)*31/1000</f>
        <v>65.41</v>
      </c>
      <c r="F29" s="2"/>
      <c r="I29" s="3" t="s">
        <v>10</v>
      </c>
      <c r="J29" s="7" t="n">
        <f aca="false">J27*31*0.95</f>
        <v>15859.134818712</v>
      </c>
    </row>
    <row r="30" customFormat="false" ht="15" hidden="false" customHeight="false" outlineLevel="0" collapsed="false">
      <c r="B30" s="8" t="n">
        <f aca="false">B29*31</f>
        <v>2027.71</v>
      </c>
      <c r="F30" s="2"/>
    </row>
    <row r="31" customFormat="false" ht="15" hidden="false" customHeight="false" outlineLevel="0" collapsed="false">
      <c r="B31" s="9" t="n">
        <v>1844</v>
      </c>
      <c r="C3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1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4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4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3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3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3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4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4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0</v>
      </c>
    </row>
    <row r="10" customFormat="false" ht="15" hidden="false" customHeight="false" outlineLevel="0" collapsed="false">
      <c r="A10" s="5" t="n">
        <v>0.291666666666667</v>
      </c>
      <c r="B10" s="2" t="n">
        <v>0</v>
      </c>
      <c r="C10" s="2" t="n">
        <v>5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0</v>
      </c>
    </row>
    <row r="11" customFormat="false" ht="15" hidden="false" customHeight="false" outlineLevel="0" collapsed="false">
      <c r="A11" s="5" t="n">
        <v>0.333333333333333</v>
      </c>
      <c r="B11" s="2" t="n">
        <v>60</v>
      </c>
      <c r="C11" s="2" t="n">
        <v>7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15.31309536</v>
      </c>
    </row>
    <row r="12" customFormat="false" ht="15" hidden="false" customHeight="false" outlineLevel="0" collapsed="false">
      <c r="A12" s="5" t="n">
        <v>0.375</v>
      </c>
      <c r="B12" s="2" t="n">
        <v>120</v>
      </c>
      <c r="C12" s="2" t="n">
        <v>10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30.62619072</v>
      </c>
    </row>
    <row r="13" customFormat="false" ht="15" hidden="false" customHeight="false" outlineLevel="0" collapsed="false">
      <c r="A13" s="5" t="n">
        <v>0.416666666666667</v>
      </c>
      <c r="B13" s="2" t="n">
        <v>250</v>
      </c>
      <c r="C13" s="2" t="n">
        <v>15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0</v>
      </c>
      <c r="I13" s="2" t="n">
        <v>0.983</v>
      </c>
      <c r="J13" s="6" t="n">
        <f aca="false">B13*D13*E13*F13*I13/1000*(100-G13*H13)/100</f>
        <v>63.804564</v>
      </c>
    </row>
    <row r="14" customFormat="false" ht="15" hidden="false" customHeight="false" outlineLevel="0" collapsed="false">
      <c r="A14" s="5" t="n">
        <v>0.458333333333333</v>
      </c>
      <c r="B14" s="2" t="n">
        <v>370</v>
      </c>
      <c r="C14" s="2" t="n">
        <v>20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0</v>
      </c>
      <c r="I14" s="2" t="n">
        <v>0.983</v>
      </c>
      <c r="J14" s="6" t="n">
        <f aca="false">B14*D14*E14*F14*I14/1000*(100-G14*H14)/100</f>
        <v>94.43075472</v>
      </c>
    </row>
    <row r="15" customFormat="false" ht="15" hidden="false" customHeight="false" outlineLevel="0" collapsed="false">
      <c r="A15" s="5" t="n">
        <v>0.5</v>
      </c>
      <c r="B15" s="2" t="n">
        <v>500</v>
      </c>
      <c r="C15" s="2" t="n">
        <v>23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0</v>
      </c>
      <c r="I15" s="2" t="n">
        <v>0.983</v>
      </c>
      <c r="J15" s="6" t="n">
        <f aca="false">B15*D15*E15*F15*I15/1000*(100-G15*H15)/100</f>
        <v>127.609128</v>
      </c>
    </row>
    <row r="16" customFormat="false" ht="15" hidden="false" customHeight="false" outlineLevel="0" collapsed="false">
      <c r="A16" s="5" t="n">
        <v>0.541666666666667</v>
      </c>
      <c r="B16" s="2" t="n">
        <v>550</v>
      </c>
      <c r="C16" s="2" t="n">
        <v>24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0</v>
      </c>
      <c r="I16" s="2" t="n">
        <v>0.983</v>
      </c>
      <c r="J16" s="6" t="n">
        <f aca="false">B16*D16*E16*F16*I16/1000*(100-G16*H16)/100</f>
        <v>140.3700408</v>
      </c>
    </row>
    <row r="17" customFormat="false" ht="15" hidden="false" customHeight="false" outlineLevel="0" collapsed="false">
      <c r="A17" s="5" t="n">
        <v>0.583333333333333</v>
      </c>
      <c r="B17" s="2" t="n">
        <v>490</v>
      </c>
      <c r="C17" s="2" t="n">
        <v>23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0</v>
      </c>
      <c r="I17" s="2" t="n">
        <v>0.983</v>
      </c>
      <c r="J17" s="6" t="n">
        <f aca="false">B17*D17*E17*F17*I17/1000*(100-G17*H17)/100</f>
        <v>125.05694544</v>
      </c>
    </row>
    <row r="18" customFormat="false" ht="15" hidden="false" customHeight="false" outlineLevel="0" collapsed="false">
      <c r="A18" s="5" t="n">
        <v>0.625</v>
      </c>
      <c r="B18" s="2" t="n">
        <v>370</v>
      </c>
      <c r="C18" s="2" t="n">
        <v>20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0</v>
      </c>
      <c r="I18" s="2" t="n">
        <v>0.983</v>
      </c>
      <c r="J18" s="6" t="n">
        <f aca="false">B18*D18*E18*F18*I18/1000*(100-G18*H18)/100</f>
        <v>94.43075472</v>
      </c>
    </row>
    <row r="19" customFormat="false" ht="15" hidden="false" customHeight="false" outlineLevel="0" collapsed="false">
      <c r="A19" s="5" t="n">
        <v>0.666666666666667</v>
      </c>
      <c r="B19" s="2" t="n">
        <v>220</v>
      </c>
      <c r="C19" s="2" t="n">
        <v>16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0</v>
      </c>
      <c r="I19" s="2" t="n">
        <v>0.983</v>
      </c>
      <c r="J19" s="6" t="n">
        <f aca="false">B19*D19*E19*F19*I19/1000*(100-G19*H19)/100</f>
        <v>56.14801632</v>
      </c>
    </row>
    <row r="20" customFormat="false" ht="15" hidden="false" customHeight="false" outlineLevel="0" collapsed="false">
      <c r="A20" s="5" t="n">
        <v>0.708333333333333</v>
      </c>
      <c r="B20" s="2" t="n">
        <v>60</v>
      </c>
      <c r="C20" s="2" t="n">
        <v>12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0</v>
      </c>
      <c r="I20" s="2" t="n">
        <v>0.983</v>
      </c>
      <c r="J20" s="6" t="n">
        <f aca="false">B20*D20*E20*F20*I20/1000*(100-G20*H20)/100</f>
        <v>15.31309536</v>
      </c>
    </row>
    <row r="21" customFormat="false" ht="15" hidden="false" customHeight="false" outlineLevel="0" collapsed="false">
      <c r="A21" s="5" t="n">
        <v>0.75</v>
      </c>
      <c r="B21" s="2" t="n">
        <v>0</v>
      </c>
      <c r="C21" s="2" t="n">
        <v>10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B21*D21*E21*F21*I21/1000*(100-G21*H21)/100</f>
        <v>0</v>
      </c>
    </row>
    <row r="22" customFormat="false" ht="15" hidden="false" customHeight="false" outlineLevel="0" collapsed="false">
      <c r="A22" s="5" t="n">
        <v>0.791666666666667</v>
      </c>
      <c r="B22" s="2" t="n">
        <v>0</v>
      </c>
      <c r="C22" s="2" t="n">
        <v>7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0</v>
      </c>
    </row>
    <row r="23" customFormat="false" ht="15" hidden="false" customHeight="false" outlineLevel="0" collapsed="false">
      <c r="A23" s="5" t="n">
        <v>0.833333333333333</v>
      </c>
      <c r="B23" s="2" t="n">
        <v>0</v>
      </c>
      <c r="C23" s="2" t="n">
        <v>6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0</v>
      </c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5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5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4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</row>
    <row r="27" customFormat="false" ht="15" hidden="false" customHeight="false" outlineLevel="0" collapsed="false">
      <c r="E27" s="2"/>
      <c r="F27" s="2"/>
      <c r="J27" s="7" t="n">
        <f aca="false">SUM(J3:J26)</f>
        <v>763.10258544</v>
      </c>
    </row>
    <row r="29" customFormat="false" ht="15" hidden="false" customHeight="false" outlineLevel="0" collapsed="false">
      <c r="B29" s="7" t="n">
        <f aca="false">SUM(B3:B26)*28/1000</f>
        <v>83.72</v>
      </c>
      <c r="I29" s="3" t="s">
        <v>10</v>
      </c>
      <c r="J29" s="7" t="n">
        <f aca="false">J27*29*0.95</f>
        <v>21023.476228872</v>
      </c>
    </row>
    <row r="30" customFormat="false" ht="15" hidden="false" customHeight="false" outlineLevel="0" collapsed="false">
      <c r="B30" s="8" t="n">
        <f aca="false">B29*28</f>
        <v>2344.16</v>
      </c>
    </row>
    <row r="31" customFormat="false" ht="15" hidden="false" customHeight="false" outlineLevel="0" collapsed="false">
      <c r="B31" s="1" t="n">
        <v>2295</v>
      </c>
      <c r="C3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1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5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B3*D3*E3*F3*I3/1000*(100-H3)/100*(100-G3*H3)/100</f>
        <v>0</v>
      </c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5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B4*D4*E4*F4*I4/1000*(100-H4)/100*(100-G4*H4)/100</f>
        <v>0</v>
      </c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4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B5*D5*E5*F5*I5/1000*(100-H5)/100*(100-G5*H5)/100</f>
        <v>0</v>
      </c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4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B6*D6*E6*F6*I6/1000*(100-H6)/100*(100-G6*H6)/100</f>
        <v>0</v>
      </c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4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B7*D7*E7*F7*I7/1000*(100-H7)/100*(100-G7*H7)/100</f>
        <v>0</v>
      </c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4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B8*D8*E8*F8*I8/1000*(100-H8)/100*(100-G8*H8)/100</f>
        <v>0</v>
      </c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6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B9*D9*E9*F9*I9/1000*(100-H9)/100*(100-G9*H9)/100</f>
        <v>0</v>
      </c>
    </row>
    <row r="10" customFormat="false" ht="15" hidden="false" customHeight="false" outlineLevel="0" collapsed="false">
      <c r="A10" s="5" t="n">
        <v>0.291666666666667</v>
      </c>
      <c r="B10" s="2" t="n">
        <v>0</v>
      </c>
      <c r="C10" s="2" t="n">
        <v>8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B10*D10*E10*F10*I10/1000*(100-H10)/100*(100-G10*H10)/100</f>
        <v>0</v>
      </c>
    </row>
    <row r="11" customFormat="false" ht="15" hidden="false" customHeight="false" outlineLevel="0" collapsed="false">
      <c r="A11" s="5" t="n">
        <v>0.333333333333333</v>
      </c>
      <c r="B11" s="2" t="n">
        <v>50</v>
      </c>
      <c r="C11" s="2" t="n">
        <v>12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B11*D11*E11*F11*I11/1000*(100-H11)/100*(100-G11*H11)/100</f>
        <v>12.7609128</v>
      </c>
    </row>
    <row r="12" customFormat="false" ht="15" hidden="false" customHeight="false" outlineLevel="0" collapsed="false">
      <c r="A12" s="5" t="n">
        <v>0.375</v>
      </c>
      <c r="B12" s="2" t="n">
        <v>150</v>
      </c>
      <c r="C12" s="2" t="n">
        <v>16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B12*D12*E12*F12*I12/1000*(100-H12)/100*(100-G12*H12)/100</f>
        <v>38.2827384</v>
      </c>
    </row>
    <row r="13" customFormat="false" ht="15" hidden="false" customHeight="false" outlineLevel="0" collapsed="false">
      <c r="A13" s="5" t="n">
        <v>0.416666666666667</v>
      </c>
      <c r="B13" s="2" t="n">
        <v>280</v>
      </c>
      <c r="C13" s="2" t="n">
        <v>21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0</v>
      </c>
      <c r="I13" s="2" t="n">
        <v>0.983</v>
      </c>
      <c r="J13" s="6" t="n">
        <f aca="false">B13*D13*E13*F13*I13/1000*(100-H13)/100*(100-G13*H13)/100</f>
        <v>71.46111168</v>
      </c>
    </row>
    <row r="14" customFormat="false" ht="15" hidden="false" customHeight="false" outlineLevel="0" collapsed="false">
      <c r="A14" s="5" t="n">
        <v>0.458333333333333</v>
      </c>
      <c r="B14" s="2" t="n">
        <v>410</v>
      </c>
      <c r="C14" s="2" t="n">
        <v>24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0</v>
      </c>
      <c r="I14" s="2" t="n">
        <v>0.983</v>
      </c>
      <c r="J14" s="6" t="n">
        <f aca="false">B14*D14*E14*F14*I14/1000*(100-H14)/100*(100-G14*H14)/100</f>
        <v>104.63948496</v>
      </c>
    </row>
    <row r="15" customFormat="false" ht="15" hidden="false" customHeight="false" outlineLevel="0" collapsed="false">
      <c r="A15" s="5" t="n">
        <v>0.5</v>
      </c>
      <c r="B15" s="2" t="n">
        <v>530</v>
      </c>
      <c r="C15" s="2" t="n">
        <v>26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1</v>
      </c>
      <c r="I15" s="2" t="n">
        <v>0.983</v>
      </c>
      <c r="J15" s="6" t="n">
        <f aca="false">B15*D15*E15*F15*I15/1000*(100-H15)/100*(100-G15*H15)/100</f>
        <v>133.51127986643</v>
      </c>
    </row>
    <row r="16" customFormat="false" ht="15" hidden="false" customHeight="false" outlineLevel="0" collapsed="false">
      <c r="A16" s="5" t="n">
        <v>0.541666666666667</v>
      </c>
      <c r="B16" s="2" t="n">
        <v>580</v>
      </c>
      <c r="C16" s="2" t="n">
        <v>26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1</v>
      </c>
      <c r="I16" s="2" t="n">
        <v>0.983</v>
      </c>
      <c r="J16" s="6" t="n">
        <f aca="false">B16*D16*E16*F16*I16/1000*(100-H16)/100*(100-G16*H16)/100</f>
        <v>146.106683627414</v>
      </c>
    </row>
    <row r="17" customFormat="false" ht="15" hidden="false" customHeight="false" outlineLevel="0" collapsed="false">
      <c r="A17" s="5" t="n">
        <v>0.583333333333333</v>
      </c>
      <c r="B17" s="2" t="n">
        <v>525</v>
      </c>
      <c r="C17" s="2" t="n">
        <v>25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0</v>
      </c>
      <c r="I17" s="2" t="n">
        <v>0.983</v>
      </c>
      <c r="J17" s="6" t="n">
        <f aca="false">B17*D17*E17*F17*I17/1000*(100-H17)/100*(100-G17*H17)/100</f>
        <v>133.9895844</v>
      </c>
    </row>
    <row r="18" customFormat="false" ht="15" hidden="false" customHeight="false" outlineLevel="0" collapsed="false">
      <c r="A18" s="5" t="n">
        <v>0.625</v>
      </c>
      <c r="B18" s="2" t="n">
        <v>400</v>
      </c>
      <c r="C18" s="2" t="n">
        <v>23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0</v>
      </c>
      <c r="I18" s="2" t="n">
        <v>0.983</v>
      </c>
      <c r="J18" s="6" t="n">
        <f aca="false">B18*D18*E18*F18*I18/1000*(100-H18)/100*(100-G18*H18)/100</f>
        <v>102.0873024</v>
      </c>
    </row>
    <row r="19" customFormat="false" ht="15" hidden="false" customHeight="false" outlineLevel="0" collapsed="false">
      <c r="A19" s="5" t="n">
        <v>0.666666666666667</v>
      </c>
      <c r="B19" s="2" t="n">
        <v>275</v>
      </c>
      <c r="C19" s="2" t="n">
        <v>19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0</v>
      </c>
      <c r="I19" s="2" t="n">
        <v>0.983</v>
      </c>
      <c r="J19" s="6" t="n">
        <f aca="false">B19*D19*E19*F19*I19/1000*(100-H19)/100*(100-G19*H19)/100</f>
        <v>70.1850204</v>
      </c>
    </row>
    <row r="20" customFormat="false" ht="15" hidden="false" customHeight="false" outlineLevel="0" collapsed="false">
      <c r="A20" s="5" t="n">
        <v>0.708333333333333</v>
      </c>
      <c r="B20" s="2" t="n">
        <v>140</v>
      </c>
      <c r="C20" s="2" t="n">
        <v>15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0</v>
      </c>
      <c r="I20" s="2" t="n">
        <v>0.983</v>
      </c>
      <c r="J20" s="6" t="n">
        <f aca="false">B20*D20*E20*F20*I20/1000*(100-H20)/100*(100-G20*H20)/100</f>
        <v>35.73055584</v>
      </c>
    </row>
    <row r="21" customFormat="false" ht="15" hidden="false" customHeight="false" outlineLevel="0" collapsed="false">
      <c r="A21" s="5" t="n">
        <v>0.75</v>
      </c>
      <c r="B21" s="2" t="n">
        <v>60</v>
      </c>
      <c r="C21" s="2" t="n">
        <v>10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B21*D21*E21*F21*I21/1000*(100-H21)/100*(100-G21*H21)/100</f>
        <v>15.31309536</v>
      </c>
    </row>
    <row r="22" customFormat="false" ht="15" hidden="false" customHeight="false" outlineLevel="0" collapsed="false">
      <c r="A22" s="5" t="n">
        <v>0.791666666666667</v>
      </c>
      <c r="B22" s="2" t="n">
        <v>0</v>
      </c>
      <c r="C22" s="2" t="n">
        <v>7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B22*D22*E22*F22*I22/1000*(100-H22)/100*(100-G22*H22)/100</f>
        <v>0</v>
      </c>
    </row>
    <row r="23" customFormat="false" ht="15" hidden="false" customHeight="false" outlineLevel="0" collapsed="false">
      <c r="A23" s="5" t="n">
        <v>0.833333333333333</v>
      </c>
      <c r="B23" s="2" t="n">
        <v>0</v>
      </c>
      <c r="C23" s="2" t="n">
        <v>6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B23*D23*E23*F23*I23/1000*(100-H23)/100*(100-G23*H23)/100</f>
        <v>0</v>
      </c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6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B24*D24*E24*F24*I24/1000*(100-H24)/100*(100-G24*H24)/100</f>
        <v>0</v>
      </c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5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B25*D25*E25*F25*I25/1000*(100-H25)/100*(100-G25*H25)/100</f>
        <v>0</v>
      </c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5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B26*D26*E26*F26*I26/1000*(100-H26)/100*(100-G26*H26)/100</f>
        <v>0</v>
      </c>
    </row>
    <row r="27" customFormat="false" ht="15" hidden="false" customHeight="false" outlineLevel="0" collapsed="false">
      <c r="J27" s="7" t="n">
        <f aca="false">SUM(J3:J26)</f>
        <v>864.067769733845</v>
      </c>
    </row>
    <row r="29" customFormat="false" ht="15" hidden="false" customHeight="false" outlineLevel="0" collapsed="false">
      <c r="B29" s="7" t="n">
        <f aca="false">SUM(B3:B26)*31/1000</f>
        <v>105.4</v>
      </c>
      <c r="I29" s="3" t="s">
        <v>10</v>
      </c>
      <c r="J29" s="7" t="n">
        <f aca="false">J27*31*0.95</f>
        <v>25446.7958186617</v>
      </c>
    </row>
    <row r="30" customFormat="false" ht="15" hidden="false" customHeight="false" outlineLevel="0" collapsed="false">
      <c r="B30" s="8" t="n">
        <f aca="false">B29*31</f>
        <v>3267.4</v>
      </c>
    </row>
    <row r="31" customFormat="false" ht="15" hidden="false" customHeight="false" outlineLevel="0" collapsed="false">
      <c r="B31" s="1" t="n">
        <v>3308</v>
      </c>
      <c r="C3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9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8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8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8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7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7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7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0</v>
      </c>
    </row>
    <row r="10" customFormat="false" ht="15" hidden="false" customHeight="false" outlineLevel="0" collapsed="false">
      <c r="A10" s="5" t="n">
        <v>0.291666666666667</v>
      </c>
      <c r="B10" s="2" t="n">
        <v>40</v>
      </c>
      <c r="C10" s="2" t="n">
        <v>8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10.20873024</v>
      </c>
    </row>
    <row r="11" customFormat="false" ht="15" hidden="false" customHeight="false" outlineLevel="0" collapsed="false">
      <c r="A11" s="5" t="n">
        <v>0.333333333333333</v>
      </c>
      <c r="B11" s="2" t="n">
        <v>130</v>
      </c>
      <c r="C11" s="2" t="n">
        <v>10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33.17837328</v>
      </c>
    </row>
    <row r="12" customFormat="false" ht="15" hidden="false" customHeight="false" outlineLevel="0" collapsed="false">
      <c r="A12" s="5" t="n">
        <v>0.375</v>
      </c>
      <c r="B12" s="2" t="n">
        <v>260</v>
      </c>
      <c r="C12" s="2" t="n">
        <v>17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66.35674656</v>
      </c>
    </row>
    <row r="13" customFormat="false" ht="15" hidden="false" customHeight="false" outlineLevel="0" collapsed="false">
      <c r="A13" s="5" t="n">
        <v>0.416666666666667</v>
      </c>
      <c r="B13" s="2" t="n">
        <v>410</v>
      </c>
      <c r="C13" s="2" t="n">
        <v>22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0</v>
      </c>
      <c r="I13" s="2" t="n">
        <v>0.983</v>
      </c>
      <c r="J13" s="6" t="n">
        <f aca="false">B13*D13*E13*F13*I13/1000*(100-G13*H13)/100</f>
        <v>104.63948496</v>
      </c>
    </row>
    <row r="14" customFormat="false" ht="15" hidden="false" customHeight="false" outlineLevel="0" collapsed="false">
      <c r="A14" s="5" t="n">
        <v>0.458333333333333</v>
      </c>
      <c r="B14" s="2" t="n">
        <v>560</v>
      </c>
      <c r="C14" s="2" t="n">
        <v>27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2</v>
      </c>
      <c r="I14" s="2" t="n">
        <v>0.983</v>
      </c>
      <c r="J14" s="6" t="n">
        <f aca="false">B14*D14*E14*F14*I14/1000*(100-G14*H14)/100</f>
        <v>142.06469001984</v>
      </c>
    </row>
    <row r="15" customFormat="false" ht="15" hidden="false" customHeight="false" outlineLevel="0" collapsed="false">
      <c r="A15" s="5" t="n">
        <v>0.5</v>
      </c>
      <c r="B15" s="2" t="n">
        <v>650</v>
      </c>
      <c r="C15" s="2" t="n">
        <v>30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5</v>
      </c>
      <c r="I15" s="2" t="n">
        <v>0.983</v>
      </c>
      <c r="J15" s="6" t="n">
        <f aca="false">B15*D15*E15*F15*I15/1000*(100-G15*H15)/100</f>
        <v>163.403488404</v>
      </c>
    </row>
    <row r="16" customFormat="false" ht="15" hidden="false" customHeight="false" outlineLevel="0" collapsed="false">
      <c r="A16" s="5" t="n">
        <v>0.541666666666667</v>
      </c>
      <c r="B16" s="2" t="n">
        <v>700</v>
      </c>
      <c r="C16" s="2" t="n">
        <v>31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6</v>
      </c>
      <c r="I16" s="2" t="n">
        <v>0.983</v>
      </c>
      <c r="J16" s="6" t="n">
        <f aca="false">B16*D16*E16*F16*I16/1000*(100-G16*H16)/100</f>
        <v>175.4370291744</v>
      </c>
    </row>
    <row r="17" customFormat="false" ht="15" hidden="false" customHeight="false" outlineLevel="0" collapsed="false">
      <c r="A17" s="5" t="n">
        <v>0.583333333333333</v>
      </c>
      <c r="B17" s="2" t="n">
        <v>640</v>
      </c>
      <c r="C17" s="2" t="n">
        <v>30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5</v>
      </c>
      <c r="I17" s="2" t="n">
        <v>0.983</v>
      </c>
      <c r="J17" s="6" t="n">
        <f aca="false">B17*D17*E17*F17*I17/1000*(100-G17*H17)/100</f>
        <v>160.8895885824</v>
      </c>
    </row>
    <row r="18" customFormat="false" ht="15" hidden="false" customHeight="false" outlineLevel="0" collapsed="false">
      <c r="A18" s="5" t="n">
        <v>0.625</v>
      </c>
      <c r="B18" s="2" t="n">
        <v>550</v>
      </c>
      <c r="C18" s="2" t="n">
        <v>28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3</v>
      </c>
      <c r="I18" s="2" t="n">
        <v>0.983</v>
      </c>
      <c r="J18" s="6" t="n">
        <f aca="false">B18*D18*E18*F18*I18/1000*(100-G18*H18)/100</f>
        <v>139.1067104328</v>
      </c>
    </row>
    <row r="19" customFormat="false" ht="15" hidden="false" customHeight="false" outlineLevel="0" collapsed="false">
      <c r="A19" s="5" t="n">
        <v>0.666666666666667</v>
      </c>
      <c r="B19" s="2" t="n">
        <v>410</v>
      </c>
      <c r="C19" s="2" t="n">
        <v>25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0</v>
      </c>
      <c r="I19" s="2" t="n">
        <v>0.983</v>
      </c>
      <c r="J19" s="6" t="n">
        <f aca="false">B19*D19*E19*F19*I19/1000*(100-G19*H19)/100</f>
        <v>104.63948496</v>
      </c>
    </row>
    <row r="20" customFormat="false" ht="15" hidden="false" customHeight="false" outlineLevel="0" collapsed="false">
      <c r="A20" s="5" t="n">
        <v>0.708333333333333</v>
      </c>
      <c r="B20" s="2" t="n">
        <v>300</v>
      </c>
      <c r="C20" s="2" t="n">
        <v>22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0</v>
      </c>
      <c r="I20" s="2" t="n">
        <v>0.983</v>
      </c>
      <c r="J20" s="6" t="n">
        <f aca="false">B20*D20*E20*F20*I20/1000*(100-G20*H20)/100</f>
        <v>76.5654768</v>
      </c>
    </row>
    <row r="21" customFormat="false" ht="15" hidden="false" customHeight="false" outlineLevel="0" collapsed="false">
      <c r="A21" s="5" t="n">
        <v>0.75</v>
      </c>
      <c r="B21" s="2" t="n">
        <v>170</v>
      </c>
      <c r="C21" s="2" t="n">
        <v>18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B21*D21*E21*F21*I21/1000*(100-G21*H21)/100</f>
        <v>43.38710352</v>
      </c>
    </row>
    <row r="22" customFormat="false" ht="15" hidden="false" customHeight="false" outlineLevel="0" collapsed="false">
      <c r="A22" s="5" t="n">
        <v>0.791666666666667</v>
      </c>
      <c r="B22" s="2" t="n">
        <v>60</v>
      </c>
      <c r="C22" s="2" t="n">
        <v>13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15.31309536</v>
      </c>
    </row>
    <row r="23" customFormat="false" ht="15" hidden="false" customHeight="false" outlineLevel="0" collapsed="false">
      <c r="A23" s="5" t="n">
        <v>0.833333333333333</v>
      </c>
      <c r="B23" s="2" t="n">
        <v>0</v>
      </c>
      <c r="C23" s="2" t="n">
        <v>11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0</v>
      </c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10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9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9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</row>
    <row r="27" customFormat="false" ht="15" hidden="false" customHeight="false" outlineLevel="0" collapsed="false">
      <c r="J27" s="7" t="n">
        <f aca="false">SUM(J3:J26)</f>
        <v>1235.19000229344</v>
      </c>
    </row>
    <row r="29" customFormat="false" ht="15" hidden="false" customHeight="false" outlineLevel="0" collapsed="false">
      <c r="B29" s="7" t="n">
        <f aca="false">SUM(B3:B26)*30/1000</f>
        <v>146.4</v>
      </c>
      <c r="I29" s="3" t="s">
        <v>10</v>
      </c>
      <c r="J29" s="7" t="n">
        <f aca="false">J27*30*0.95</f>
        <v>35202.915065363</v>
      </c>
    </row>
    <row r="30" customFormat="false" ht="15" hidden="false" customHeight="false" outlineLevel="0" collapsed="false">
      <c r="B30" s="8" t="n">
        <f aca="false">B29*30</f>
        <v>4392</v>
      </c>
    </row>
    <row r="31" customFormat="false" ht="15" hidden="false" customHeight="false" outlineLevel="0" collapsed="false">
      <c r="B31" s="1" t="n">
        <v>4771</v>
      </c>
      <c r="C3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33" activeCellId="0" sqref="K3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2" width="12.42"/>
    <col collapsed="false" customWidth="true" hidden="false" outlineLevel="0" max="6" min="6" style="2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  <col collapsed="false" customWidth="true" hidden="false" outlineLevel="0" max="13" min="12" style="2" width="8.86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15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15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14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14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13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13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14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0</v>
      </c>
    </row>
    <row r="10" customFormat="false" ht="15" hidden="false" customHeight="false" outlineLevel="0" collapsed="false">
      <c r="A10" s="5" t="n">
        <v>0.291666666666667</v>
      </c>
      <c r="B10" s="2" t="n">
        <v>60</v>
      </c>
      <c r="C10" s="2" t="n">
        <v>15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15.31309536</v>
      </c>
    </row>
    <row r="11" customFormat="false" ht="15" hidden="false" customHeight="false" outlineLevel="0" collapsed="false">
      <c r="A11" s="5" t="n">
        <v>0.333333333333333</v>
      </c>
      <c r="B11" s="2" t="n">
        <v>180</v>
      </c>
      <c r="C11" s="2" t="n">
        <v>17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45.93928608</v>
      </c>
    </row>
    <row r="12" customFormat="false" ht="15" hidden="false" customHeight="false" outlineLevel="0" collapsed="false">
      <c r="A12" s="5" t="n">
        <v>0.375</v>
      </c>
      <c r="B12" s="2" t="n">
        <v>350</v>
      </c>
      <c r="C12" s="2" t="n">
        <v>23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89.3263896</v>
      </c>
    </row>
    <row r="13" customFormat="false" ht="15" hidden="false" customHeight="false" outlineLevel="0" collapsed="false">
      <c r="A13" s="5" t="n">
        <v>0.416666666666667</v>
      </c>
      <c r="B13" s="2" t="n">
        <v>490</v>
      </c>
      <c r="C13" s="2" t="n">
        <v>27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2</v>
      </c>
      <c r="I13" s="2" t="n">
        <v>0.983</v>
      </c>
      <c r="J13" s="6" t="n">
        <f aca="false">B13*D13*E13*F13*I13/1000*(100-G13*H13)/100</f>
        <v>124.30660376736</v>
      </c>
    </row>
    <row r="14" customFormat="false" ht="15" hidden="false" customHeight="false" outlineLevel="0" collapsed="false">
      <c r="A14" s="5" t="n">
        <v>0.458333333333333</v>
      </c>
      <c r="B14" s="2" t="n">
        <v>600</v>
      </c>
      <c r="C14" s="2" t="n">
        <v>29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4</v>
      </c>
      <c r="I14" s="2" t="n">
        <v>0.983</v>
      </c>
      <c r="J14" s="6" t="n">
        <f aca="false">B14*D14*E14*F14*I14/1000*(100-G14*H14)/100</f>
        <v>151.2933821568</v>
      </c>
    </row>
    <row r="15" customFormat="false" ht="15" hidden="false" customHeight="false" outlineLevel="0" collapsed="false">
      <c r="A15" s="5" t="n">
        <v>0.5</v>
      </c>
      <c r="B15" s="2" t="n">
        <v>690</v>
      </c>
      <c r="C15" s="2" t="n">
        <v>32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7</v>
      </c>
      <c r="I15" s="2" t="n">
        <v>0.983</v>
      </c>
      <c r="J15" s="6" t="n">
        <f aca="false">B15*D15*E15*F15*I15/1000*(100-G15*H15)/100</f>
        <v>172.40248411056</v>
      </c>
    </row>
    <row r="16" customFormat="false" ht="15" hidden="false" customHeight="false" outlineLevel="0" collapsed="false">
      <c r="A16" s="5" t="n">
        <v>0.541666666666667</v>
      </c>
      <c r="B16" s="2" t="n">
        <v>730</v>
      </c>
      <c r="C16" s="2" t="n">
        <v>33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8</v>
      </c>
      <c r="I16" s="2" t="n">
        <v>0.983</v>
      </c>
      <c r="J16" s="6" t="n">
        <f aca="false">B16*D16*E16*F16*I16/1000*(100-G16*H16)/100</f>
        <v>181.83790303488</v>
      </c>
    </row>
    <row r="17" customFormat="false" ht="15" hidden="false" customHeight="false" outlineLevel="0" collapsed="false">
      <c r="A17" s="5" t="n">
        <v>0.583333333333333</v>
      </c>
      <c r="B17" s="2" t="n">
        <v>680</v>
      </c>
      <c r="C17" s="2" t="n">
        <v>34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9</v>
      </c>
      <c r="I17" s="2" t="n">
        <v>0.983</v>
      </c>
      <c r="J17" s="6" t="n">
        <f aca="false">B17*D17*E17*F17*I17/1000*(100-G17*H17)/100</f>
        <v>168.86260689984</v>
      </c>
    </row>
    <row r="18" customFormat="false" ht="15" hidden="false" customHeight="false" outlineLevel="0" collapsed="false">
      <c r="A18" s="5" t="n">
        <v>0.625</v>
      </c>
      <c r="B18" s="2" t="n">
        <v>610</v>
      </c>
      <c r="C18" s="2" t="n">
        <v>32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7</v>
      </c>
      <c r="I18" s="2" t="n">
        <v>0.983</v>
      </c>
      <c r="J18" s="6" t="n">
        <f aca="false">B18*D18*E18*F18*I18/1000*(100-G18*H18)/100</f>
        <v>152.41379030064</v>
      </c>
    </row>
    <row r="19" customFormat="false" ht="15" hidden="false" customHeight="false" outlineLevel="0" collapsed="false">
      <c r="A19" s="5" t="n">
        <v>0.666666666666667</v>
      </c>
      <c r="B19" s="2" t="n">
        <v>500</v>
      </c>
      <c r="C19" s="2" t="n">
        <v>29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4</v>
      </c>
      <c r="I19" s="2" t="n">
        <v>0.983</v>
      </c>
      <c r="J19" s="6" t="n">
        <f aca="false">B19*D19*E19*F19*I19/1000*(100-G19*H19)/100</f>
        <v>126.077818464</v>
      </c>
    </row>
    <row r="20" customFormat="false" ht="15" hidden="false" customHeight="false" outlineLevel="0" collapsed="false">
      <c r="A20" s="5" t="n">
        <v>0.708333333333333</v>
      </c>
      <c r="B20" s="2" t="n">
        <v>390</v>
      </c>
      <c r="C20" s="2" t="n">
        <v>27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2</v>
      </c>
      <c r="I20" s="2" t="n">
        <v>0.983</v>
      </c>
      <c r="J20" s="6" t="n">
        <f aca="false">B20*D20*E20*F20*I20/1000*(100-G20*H20)/100</f>
        <v>98.93790912096</v>
      </c>
    </row>
    <row r="21" customFormat="false" ht="15" hidden="false" customHeight="false" outlineLevel="0" collapsed="false">
      <c r="A21" s="5" t="n">
        <v>0.75</v>
      </c>
      <c r="B21" s="2" t="n">
        <v>280</v>
      </c>
      <c r="C21" s="2" t="n">
        <v>23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B21*D21*E21*F21*I21/1000*(100-G21*H21)/100</f>
        <v>71.46111168</v>
      </c>
    </row>
    <row r="22" customFormat="false" ht="15" hidden="false" customHeight="false" outlineLevel="0" collapsed="false">
      <c r="A22" s="5" t="n">
        <v>0.791666666666667</v>
      </c>
      <c r="B22" s="2" t="n">
        <v>150</v>
      </c>
      <c r="C22" s="2" t="n">
        <v>20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38.2827384</v>
      </c>
    </row>
    <row r="23" customFormat="false" ht="15" hidden="false" customHeight="false" outlineLevel="0" collapsed="false">
      <c r="A23" s="5" t="n">
        <v>0.833333333333333</v>
      </c>
      <c r="B23" s="2" t="n">
        <v>50</v>
      </c>
      <c r="C23" s="2" t="n">
        <v>17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12.7609128</v>
      </c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16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15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15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</row>
    <row r="27" customFormat="false" ht="15" hidden="false" customHeight="false" outlineLevel="0" collapsed="false">
      <c r="J27" s="7" t="n">
        <f aca="false">SUM(J3:J26)</f>
        <v>1449.21603177504</v>
      </c>
    </row>
    <row r="29" customFormat="false" ht="15" hidden="false" customHeight="false" outlineLevel="0" collapsed="false">
      <c r="B29" s="7" t="n">
        <f aca="false">SUM(B3:B26)*31/1000</f>
        <v>178.56</v>
      </c>
      <c r="I29" s="3" t="s">
        <v>10</v>
      </c>
      <c r="J29" s="7" t="n">
        <f aca="false">J27*31*0.95</f>
        <v>42679.4121357749</v>
      </c>
    </row>
    <row r="30" customFormat="false" ht="15" hidden="false" customHeight="false" outlineLevel="0" collapsed="false">
      <c r="B30" s="8" t="n">
        <f aca="false">B29*31</f>
        <v>5535.36</v>
      </c>
    </row>
    <row r="31" customFormat="false" ht="15" hidden="false" customHeight="false" outlineLevel="0" collapsed="false">
      <c r="B31" s="1" t="n">
        <v>5791</v>
      </c>
      <c r="C3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2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  <col collapsed="false" customWidth="true" hidden="false" outlineLevel="0" max="12" min="12" style="2" width="8.86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19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  <c r="K3" s="6"/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18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  <c r="K4" s="6"/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16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  <c r="K5" s="6"/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16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  <c r="K6" s="6"/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16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  <c r="K7" s="6"/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17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  <c r="K8" s="6"/>
    </row>
    <row r="9" customFormat="false" ht="15" hidden="false" customHeight="false" outlineLevel="0" collapsed="false">
      <c r="A9" s="5" t="n">
        <v>0.25</v>
      </c>
      <c r="B9" s="2" t="n">
        <v>40</v>
      </c>
      <c r="C9" s="2" t="n">
        <v>18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10.20873024</v>
      </c>
      <c r="K9" s="6"/>
    </row>
    <row r="10" customFormat="false" ht="15" hidden="false" customHeight="false" outlineLevel="0" collapsed="false">
      <c r="A10" s="5" t="n">
        <v>0.291666666666667</v>
      </c>
      <c r="B10" s="2" t="n">
        <v>120</v>
      </c>
      <c r="C10" s="2" t="n">
        <v>19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30.62619072</v>
      </c>
      <c r="K10" s="6"/>
    </row>
    <row r="11" customFormat="false" ht="15" hidden="false" customHeight="false" outlineLevel="0" collapsed="false">
      <c r="A11" s="5" t="n">
        <v>0.333333333333333</v>
      </c>
      <c r="B11" s="2" t="n">
        <v>230</v>
      </c>
      <c r="C11" s="2" t="n">
        <v>22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58.70019888</v>
      </c>
      <c r="K11" s="6"/>
    </row>
    <row r="12" customFormat="false" ht="15" hidden="false" customHeight="false" outlineLevel="0" collapsed="false">
      <c r="A12" s="5" t="n">
        <v>0.375</v>
      </c>
      <c r="B12" s="2" t="n">
        <v>380</v>
      </c>
      <c r="C12" s="2" t="n">
        <v>25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96.98293728</v>
      </c>
      <c r="K12" s="6"/>
    </row>
    <row r="13" customFormat="false" ht="15" hidden="false" customHeight="false" outlineLevel="0" collapsed="false">
      <c r="A13" s="5" t="n">
        <v>0.416666666666667</v>
      </c>
      <c r="B13" s="2" t="n">
        <v>560</v>
      </c>
      <c r="C13" s="2" t="n">
        <v>30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5</v>
      </c>
      <c r="I13" s="2" t="n">
        <v>0.983</v>
      </c>
      <c r="J13" s="6" t="n">
        <f aca="false">B13*D13*E13*F13*I13/1000*(100-G13*H13)/100</f>
        <v>140.7783900096</v>
      </c>
      <c r="K13" s="6"/>
    </row>
    <row r="14" customFormat="false" ht="15" hidden="false" customHeight="false" outlineLevel="0" collapsed="false">
      <c r="A14" s="5" t="n">
        <v>0.458333333333333</v>
      </c>
      <c r="B14" s="2" t="n">
        <v>730</v>
      </c>
      <c r="C14" s="2" t="n">
        <v>35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10</v>
      </c>
      <c r="I14" s="2" t="n">
        <v>0.983</v>
      </c>
      <c r="J14" s="6" t="n">
        <f aca="false">B14*D14*E14*F14*I14/1000*(100-G14*H14)/100</f>
        <v>180.7200470736</v>
      </c>
      <c r="K14" s="6"/>
    </row>
    <row r="15" customFormat="false" ht="15" hidden="false" customHeight="false" outlineLevel="0" collapsed="false">
      <c r="A15" s="5" t="n">
        <v>0.5</v>
      </c>
      <c r="B15" s="2" t="n">
        <v>830</v>
      </c>
      <c r="C15" s="2" t="n">
        <v>37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12</v>
      </c>
      <c r="I15" s="2" t="n">
        <v>0.983</v>
      </c>
      <c r="J15" s="6" t="n">
        <f aca="false">B15*D15*E15*F15*I15/1000*(100-G15*H15)/100</f>
        <v>204.20523099072</v>
      </c>
      <c r="K15" s="6"/>
    </row>
    <row r="16" customFormat="false" ht="15" hidden="false" customHeight="false" outlineLevel="0" collapsed="false">
      <c r="A16" s="5" t="n">
        <v>0.541666666666667</v>
      </c>
      <c r="B16" s="2" t="n">
        <v>880</v>
      </c>
      <c r="C16" s="2" t="n">
        <v>39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14</v>
      </c>
      <c r="I16" s="2" t="n">
        <v>0.983</v>
      </c>
      <c r="J16" s="6" t="n">
        <f aca="false">B16*D16*E16*F16*I16/1000*(100-G16*H16)/100</f>
        <v>215.15919853824</v>
      </c>
      <c r="K16" s="6"/>
    </row>
    <row r="17" customFormat="false" ht="15" hidden="false" customHeight="false" outlineLevel="0" collapsed="false">
      <c r="A17" s="5" t="n">
        <v>0.583333333333333</v>
      </c>
      <c r="B17" s="2" t="n">
        <v>820</v>
      </c>
      <c r="C17" s="2" t="n">
        <v>39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14</v>
      </c>
      <c r="I17" s="2" t="n">
        <v>0.983</v>
      </c>
      <c r="J17" s="6" t="n">
        <f aca="false">B17*D17*E17*F17*I17/1000*(100-G17*H17)/100</f>
        <v>200.48925318336</v>
      </c>
      <c r="K17" s="6"/>
    </row>
    <row r="18" customFormat="false" ht="15" hidden="false" customHeight="false" outlineLevel="0" collapsed="false">
      <c r="A18" s="5" t="n">
        <v>0.625</v>
      </c>
      <c r="B18" s="2" t="n">
        <v>700</v>
      </c>
      <c r="C18" s="2" t="n">
        <v>37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12</v>
      </c>
      <c r="I18" s="2" t="n">
        <v>0.983</v>
      </c>
      <c r="J18" s="6" t="n">
        <f aca="false">B18*D18*E18*F18*I18/1000*(100-G18*H18)/100</f>
        <v>172.2212791488</v>
      </c>
      <c r="K18" s="6"/>
    </row>
    <row r="19" customFormat="false" ht="15" hidden="false" customHeight="false" outlineLevel="0" collapsed="false">
      <c r="A19" s="5" t="n">
        <v>0.666666666666667</v>
      </c>
      <c r="B19" s="2" t="n">
        <v>570</v>
      </c>
      <c r="C19" s="2" t="n">
        <v>33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8</v>
      </c>
      <c r="I19" s="2" t="n">
        <v>0.983</v>
      </c>
      <c r="J19" s="6" t="n">
        <f aca="false">B19*D19*E19*F19*I19/1000*(100-G19*H19)/100</f>
        <v>141.98302017792</v>
      </c>
      <c r="K19" s="6"/>
    </row>
    <row r="20" customFormat="false" ht="15" hidden="false" customHeight="false" outlineLevel="0" collapsed="false">
      <c r="A20" s="5" t="n">
        <v>0.708333333333333</v>
      </c>
      <c r="B20" s="2" t="n">
        <v>390</v>
      </c>
      <c r="C20" s="2" t="n">
        <v>28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3</v>
      </c>
      <c r="I20" s="2" t="n">
        <v>0.983</v>
      </c>
      <c r="J20" s="6" t="n">
        <f aca="false">B20*D20*E20*F20*I20/1000*(100-G20*H20)/100</f>
        <v>98.63930376144</v>
      </c>
      <c r="K20" s="6"/>
    </row>
    <row r="21" customFormat="false" ht="15" hidden="false" customHeight="false" outlineLevel="0" collapsed="false">
      <c r="A21" s="5" t="n">
        <v>0.75</v>
      </c>
      <c r="B21" s="2" t="n">
        <v>270</v>
      </c>
      <c r="C21" s="2" t="n">
        <v>26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1</v>
      </c>
      <c r="I21" s="2" t="n">
        <v>0.983</v>
      </c>
      <c r="J21" s="6" t="n">
        <f aca="false">B21*D21*E21*F21*I21/1000*(100-G21*H21)/100</f>
        <v>68.70220233264</v>
      </c>
      <c r="K21" s="6"/>
    </row>
    <row r="22" customFormat="false" ht="15" hidden="false" customHeight="false" outlineLevel="0" collapsed="false">
      <c r="A22" s="5" t="n">
        <v>0.791666666666667</v>
      </c>
      <c r="B22" s="2" t="n">
        <v>160</v>
      </c>
      <c r="C22" s="2" t="n">
        <v>23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40.83492096</v>
      </c>
      <c r="K22" s="6"/>
    </row>
    <row r="23" customFormat="false" ht="15" hidden="false" customHeight="false" outlineLevel="0" collapsed="false">
      <c r="A23" s="5" t="n">
        <v>0.833333333333333</v>
      </c>
      <c r="B23" s="2" t="n">
        <v>50</v>
      </c>
      <c r="C23" s="2" t="n">
        <v>21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12.7609128</v>
      </c>
      <c r="K23" s="6"/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20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  <c r="K24" s="6"/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19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  <c r="K25" s="6"/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19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  <c r="K26" s="6"/>
    </row>
    <row r="27" customFormat="false" ht="15" hidden="false" customHeight="false" outlineLevel="0" collapsed="false">
      <c r="J27" s="7" t="n">
        <f aca="false">SUM(J3:J26)</f>
        <v>1673.01181609632</v>
      </c>
      <c r="K27" s="6"/>
    </row>
    <row r="28" customFormat="false" ht="15" hidden="false" customHeight="false" outlineLevel="0" collapsed="false">
      <c r="J28" s="6"/>
      <c r="K28" s="6"/>
    </row>
    <row r="29" customFormat="false" ht="15" hidden="false" customHeight="false" outlineLevel="0" collapsed="false">
      <c r="B29" s="7" t="n">
        <f aca="false">SUM(B3:B26)*30/1000</f>
        <v>201.9</v>
      </c>
      <c r="I29" s="3" t="s">
        <v>10</v>
      </c>
      <c r="J29" s="7" t="n">
        <f aca="false">J27*30*0.95</f>
        <v>47680.8367587451</v>
      </c>
      <c r="K29" s="6"/>
    </row>
    <row r="30" customFormat="false" ht="15" hidden="false" customHeight="false" outlineLevel="0" collapsed="false">
      <c r="B30" s="8" t="n">
        <f aca="false">B29*30</f>
        <v>6057</v>
      </c>
      <c r="J30" s="6"/>
      <c r="K30" s="6"/>
    </row>
    <row r="31" customFormat="false" ht="15" hidden="false" customHeight="false" outlineLevel="0" collapsed="false">
      <c r="B31" s="1" t="n">
        <v>6608</v>
      </c>
      <c r="C31" s="1" t="s">
        <v>11</v>
      </c>
      <c r="J31" s="6"/>
      <c r="K31" s="6"/>
    </row>
    <row r="32" customFormat="false" ht="15" hidden="false" customHeight="false" outlineLevel="0" collapsed="false">
      <c r="J32" s="6"/>
      <c r="K3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2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23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  <c r="K3" s="6"/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22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  <c r="K4" s="6"/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21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  <c r="K5" s="6"/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20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  <c r="K6" s="6"/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20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  <c r="K7" s="6"/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21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  <c r="K8" s="6"/>
    </row>
    <row r="9" customFormat="false" ht="15" hidden="false" customHeight="false" outlineLevel="0" collapsed="false">
      <c r="A9" s="5" t="n">
        <v>0.25</v>
      </c>
      <c r="B9" s="2" t="n">
        <v>50</v>
      </c>
      <c r="C9" s="2" t="n">
        <v>23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12.7609128</v>
      </c>
      <c r="K9" s="6"/>
    </row>
    <row r="10" customFormat="false" ht="15" hidden="false" customHeight="false" outlineLevel="0" collapsed="false">
      <c r="A10" s="5" t="n">
        <v>0.291666666666667</v>
      </c>
      <c r="B10" s="2" t="n">
        <v>150</v>
      </c>
      <c r="C10" s="2" t="n">
        <v>24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38.2827384</v>
      </c>
      <c r="K10" s="6"/>
    </row>
    <row r="11" customFormat="false" ht="15" hidden="false" customHeight="false" outlineLevel="0" collapsed="false">
      <c r="A11" s="5" t="n">
        <v>0.333333333333333</v>
      </c>
      <c r="B11" s="2" t="n">
        <v>250</v>
      </c>
      <c r="C11" s="2" t="n">
        <v>27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2</v>
      </c>
      <c r="I11" s="2" t="n">
        <v>0.983</v>
      </c>
      <c r="J11" s="6" t="n">
        <f aca="false">B11*D11*E11*F11*I11/1000*(100-G11*H11)/100</f>
        <v>63.421736616</v>
      </c>
      <c r="K11" s="6"/>
    </row>
    <row r="12" customFormat="false" ht="15" hidden="false" customHeight="false" outlineLevel="0" collapsed="false">
      <c r="A12" s="5" t="n">
        <v>0.375</v>
      </c>
      <c r="B12" s="2" t="n">
        <v>400</v>
      </c>
      <c r="C12" s="2" t="n">
        <v>30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5</v>
      </c>
      <c r="I12" s="2" t="n">
        <v>0.983</v>
      </c>
      <c r="J12" s="6" t="n">
        <f aca="false">B12*D12*E12*F12*I12/1000*(100-G12*H12)/100</f>
        <v>100.555992864</v>
      </c>
      <c r="K12" s="6"/>
    </row>
    <row r="13" customFormat="false" ht="15" hidden="false" customHeight="false" outlineLevel="0" collapsed="false">
      <c r="A13" s="5" t="n">
        <v>0.416666666666667</v>
      </c>
      <c r="B13" s="2" t="n">
        <v>600</v>
      </c>
      <c r="C13" s="2" t="n">
        <v>34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9</v>
      </c>
      <c r="I13" s="2" t="n">
        <v>0.983</v>
      </c>
      <c r="J13" s="6" t="n">
        <f aca="false">B13*D13*E13*F13*I13/1000*(100-G13*H13)/100</f>
        <v>148.9964178528</v>
      </c>
      <c r="K13" s="6"/>
    </row>
    <row r="14" customFormat="false" ht="15" hidden="false" customHeight="false" outlineLevel="0" collapsed="false">
      <c r="A14" s="5" t="n">
        <v>0.458333333333333</v>
      </c>
      <c r="B14" s="2" t="n">
        <v>720</v>
      </c>
      <c r="C14" s="2" t="n">
        <v>37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12</v>
      </c>
      <c r="I14" s="2" t="n">
        <v>0.983</v>
      </c>
      <c r="J14" s="6" t="n">
        <f aca="false">B14*D14*E14*F14*I14/1000*(100-G14*H14)/100</f>
        <v>177.14188712448</v>
      </c>
      <c r="K14" s="6"/>
    </row>
    <row r="15" customFormat="false" ht="15" hidden="false" customHeight="false" outlineLevel="0" collapsed="false">
      <c r="A15" s="5" t="n">
        <v>0.5</v>
      </c>
      <c r="B15" s="2" t="n">
        <v>840</v>
      </c>
      <c r="C15" s="2" t="n">
        <v>40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15</v>
      </c>
      <c r="I15" s="2" t="n">
        <v>0.983</v>
      </c>
      <c r="J15" s="6" t="n">
        <f aca="false">B15*D15*E15*F15*I15/1000*(100-G15*H15)/100</f>
        <v>204.7360849632</v>
      </c>
      <c r="K15" s="6"/>
    </row>
    <row r="16" customFormat="false" ht="15" hidden="false" customHeight="false" outlineLevel="0" collapsed="false">
      <c r="A16" s="5" t="n">
        <v>0.541666666666667</v>
      </c>
      <c r="B16" s="2" t="n">
        <v>900</v>
      </c>
      <c r="C16" s="2" t="n">
        <v>43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18</v>
      </c>
      <c r="I16" s="2" t="n">
        <v>0.983</v>
      </c>
      <c r="J16" s="6" t="n">
        <f aca="false">B16*D16*E16*F16*I16/1000*(100-G16*H16)/100</f>
        <v>217.2928231584</v>
      </c>
      <c r="K16" s="6"/>
    </row>
    <row r="17" customFormat="false" ht="15" hidden="false" customHeight="false" outlineLevel="0" collapsed="false">
      <c r="A17" s="5" t="n">
        <v>0.583333333333333</v>
      </c>
      <c r="B17" s="2" t="n">
        <v>835</v>
      </c>
      <c r="C17" s="2" t="n">
        <v>44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19</v>
      </c>
      <c r="I17" s="2" t="n">
        <v>0.983</v>
      </c>
      <c r="J17" s="6" t="n">
        <f aca="false">B17*D17*E17*F17*I17/1000*(100-G17*H17)/100</f>
        <v>200.96013086568</v>
      </c>
      <c r="K17" s="6"/>
    </row>
    <row r="18" customFormat="false" ht="15" hidden="false" customHeight="false" outlineLevel="0" collapsed="false">
      <c r="A18" s="5" t="n">
        <v>0.625</v>
      </c>
      <c r="B18" s="2" t="n">
        <v>725</v>
      </c>
      <c r="C18" s="2" t="n">
        <v>43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18</v>
      </c>
      <c r="I18" s="2" t="n">
        <v>0.983</v>
      </c>
      <c r="J18" s="6" t="n">
        <f aca="false">B18*D18*E18*F18*I18/1000*(100-G18*H18)/100</f>
        <v>175.0414408776</v>
      </c>
      <c r="K18" s="6"/>
    </row>
    <row r="19" customFormat="false" ht="15" hidden="false" customHeight="false" outlineLevel="0" collapsed="false">
      <c r="A19" s="5" t="n">
        <v>0.666666666666667</v>
      </c>
      <c r="B19" s="2" t="n">
        <v>580</v>
      </c>
      <c r="C19" s="2" t="n">
        <v>40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15</v>
      </c>
      <c r="I19" s="2" t="n">
        <v>0.983</v>
      </c>
      <c r="J19" s="6" t="n">
        <f aca="false">B19*D19*E19*F19*I19/1000*(100-G19*H19)/100</f>
        <v>141.3653919984</v>
      </c>
      <c r="K19" s="6"/>
    </row>
    <row r="20" customFormat="false" ht="15" hidden="false" customHeight="false" outlineLevel="0" collapsed="false">
      <c r="A20" s="5" t="n">
        <v>0.708333333333333</v>
      </c>
      <c r="B20" s="2" t="n">
        <v>400</v>
      </c>
      <c r="C20" s="2" t="n">
        <v>37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12</v>
      </c>
      <c r="I20" s="2" t="n">
        <v>0.983</v>
      </c>
      <c r="J20" s="6" t="n">
        <f aca="false">B20*D20*E20*F20*I20/1000*(100-G20*H20)/100</f>
        <v>98.4121595136</v>
      </c>
      <c r="K20" s="6"/>
    </row>
    <row r="21" customFormat="false" ht="15" hidden="false" customHeight="false" outlineLevel="0" collapsed="false">
      <c r="A21" s="5" t="n">
        <v>0.75</v>
      </c>
      <c r="B21" s="2" t="n">
        <v>290</v>
      </c>
      <c r="C21" s="2" t="n">
        <v>34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9</v>
      </c>
      <c r="I21" s="2" t="n">
        <v>0.983</v>
      </c>
      <c r="J21" s="6" t="n">
        <f aca="false">B21*D21*E21*F21*I21/1000*(100-G21*H21)/100</f>
        <v>72.01493529552</v>
      </c>
      <c r="K21" s="6"/>
    </row>
    <row r="22" customFormat="false" ht="15" hidden="false" customHeight="false" outlineLevel="0" collapsed="false">
      <c r="A22" s="5" t="n">
        <v>0.791666666666667</v>
      </c>
      <c r="B22" s="2" t="n">
        <v>170</v>
      </c>
      <c r="C22" s="2" t="n">
        <v>30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5</v>
      </c>
      <c r="I22" s="2" t="n">
        <v>0.983</v>
      </c>
      <c r="J22" s="6" t="n">
        <f aca="false">B22*D22*E22*F22*I22/1000*(100-G22*H22)/100</f>
        <v>42.7362969672</v>
      </c>
      <c r="K22" s="6"/>
    </row>
    <row r="23" customFormat="false" ht="15" hidden="false" customHeight="false" outlineLevel="0" collapsed="false">
      <c r="A23" s="5" t="n">
        <v>0.833333333333333</v>
      </c>
      <c r="B23" s="2" t="n">
        <v>50</v>
      </c>
      <c r="C23" s="2" t="n">
        <v>28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3</v>
      </c>
      <c r="I23" s="2" t="n">
        <v>0.983</v>
      </c>
      <c r="J23" s="6" t="n">
        <f aca="false">B23*D23*E23*F23*I23/1000*(100-G23*H23)/100</f>
        <v>12.6460645848</v>
      </c>
      <c r="K23" s="6"/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27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2</v>
      </c>
      <c r="I24" s="2" t="n">
        <v>0.983</v>
      </c>
      <c r="J24" s="6" t="n">
        <f aca="false">B24*D24*E24*F24*I24/1000*(100-G24*H24)/100</f>
        <v>0</v>
      </c>
      <c r="K24" s="6"/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25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  <c r="K25" s="6"/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24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  <c r="K26" s="6"/>
    </row>
    <row r="27" customFormat="false" ht="15" hidden="false" customHeight="false" outlineLevel="0" collapsed="false">
      <c r="J27" s="7" t="n">
        <f aca="false">SUM(J3:J26)</f>
        <v>1706.36501388168</v>
      </c>
      <c r="K27" s="6"/>
    </row>
    <row r="28" customFormat="false" ht="15" hidden="false" customHeight="false" outlineLevel="0" collapsed="false">
      <c r="J28" s="6"/>
      <c r="K28" s="6"/>
    </row>
    <row r="29" customFormat="false" ht="15" hidden="false" customHeight="false" outlineLevel="0" collapsed="false">
      <c r="B29" s="7" t="n">
        <f aca="false">SUM(B3:B26)*31/1000</f>
        <v>215.76</v>
      </c>
      <c r="I29" s="3" t="s">
        <v>10</v>
      </c>
      <c r="J29" s="7" t="n">
        <f aca="false">J27*31*0.95</f>
        <v>50252.4496588155</v>
      </c>
      <c r="K29" s="6"/>
    </row>
    <row r="30" customFormat="false" ht="15" hidden="false" customHeight="false" outlineLevel="0" collapsed="false">
      <c r="B30" s="8" t="n">
        <f aca="false">B29*31</f>
        <v>6688.56</v>
      </c>
      <c r="J30" s="6"/>
      <c r="K30" s="6"/>
    </row>
    <row r="31" customFormat="false" ht="15" hidden="false" customHeight="false" outlineLevel="0" collapsed="false">
      <c r="B31" s="1" t="n">
        <v>6475</v>
      </c>
      <c r="C31" s="1" t="s">
        <v>11</v>
      </c>
      <c r="J31" s="6"/>
      <c r="K31" s="6"/>
    </row>
    <row r="32" customFormat="false" ht="15" hidden="false" customHeight="false" outlineLevel="0" collapsed="false">
      <c r="J32" s="6"/>
      <c r="K3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25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  <c r="K3" s="6"/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24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  <c r="K4" s="6"/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24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  <c r="K5" s="6"/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24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  <c r="K6" s="6"/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25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  <c r="K7" s="6"/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26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1</v>
      </c>
      <c r="I8" s="2" t="n">
        <v>0.983</v>
      </c>
      <c r="J8" s="6" t="n">
        <f aca="false">B8*D8*E8*F8*I8/1000*(100-G8*H8)/100</f>
        <v>0</v>
      </c>
      <c r="K8" s="6"/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27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2</v>
      </c>
      <c r="I9" s="2" t="n">
        <v>0.983</v>
      </c>
      <c r="J9" s="6" t="n">
        <f aca="false">B9*D9*E9*F9*I9/1000*(100-G9*H9)/100</f>
        <v>0</v>
      </c>
      <c r="K9" s="6"/>
    </row>
    <row r="10" customFormat="false" ht="15" hidden="false" customHeight="false" outlineLevel="0" collapsed="false">
      <c r="A10" s="5" t="n">
        <v>0.291666666666667</v>
      </c>
      <c r="B10" s="2" t="n">
        <v>70</v>
      </c>
      <c r="C10" s="2" t="n">
        <v>28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3</v>
      </c>
      <c r="I10" s="2" t="n">
        <v>0.983</v>
      </c>
      <c r="J10" s="6" t="n">
        <f aca="false">B10*D10*E10*F10*I10/1000*(100-G10*H10)/100</f>
        <v>17.70449041872</v>
      </c>
      <c r="K10" s="6"/>
    </row>
    <row r="11" customFormat="false" ht="15" hidden="false" customHeight="false" outlineLevel="0" collapsed="false">
      <c r="A11" s="5" t="n">
        <v>0.333333333333333</v>
      </c>
      <c r="B11" s="2" t="n">
        <v>230</v>
      </c>
      <c r="C11" s="2" t="n">
        <v>29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4</v>
      </c>
      <c r="I11" s="2" t="n">
        <v>0.983</v>
      </c>
      <c r="J11" s="6" t="n">
        <f aca="false">B11*D11*E11*F11*I11/1000*(100-G11*H11)/100</f>
        <v>57.99579649344</v>
      </c>
      <c r="K11" s="6"/>
    </row>
    <row r="12" customFormat="false" ht="15" hidden="false" customHeight="false" outlineLevel="0" collapsed="false">
      <c r="A12" s="5" t="n">
        <v>0.375</v>
      </c>
      <c r="B12" s="2" t="n">
        <v>370</v>
      </c>
      <c r="C12" s="2" t="n">
        <v>31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6</v>
      </c>
      <c r="I12" s="2" t="n">
        <v>0.983</v>
      </c>
      <c r="J12" s="6" t="n">
        <f aca="false">B12*D12*E12*F12*I12/1000*(100-G12*H12)/100</f>
        <v>92.73100113504</v>
      </c>
      <c r="K12" s="6"/>
    </row>
    <row r="13" customFormat="false" ht="15" hidden="false" customHeight="false" outlineLevel="0" collapsed="false">
      <c r="A13" s="5" t="n">
        <v>0.416666666666667</v>
      </c>
      <c r="B13" s="2" t="n">
        <v>510</v>
      </c>
      <c r="C13" s="2" t="n">
        <v>34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9</v>
      </c>
      <c r="I13" s="2" t="n">
        <v>0.983</v>
      </c>
      <c r="J13" s="6" t="n">
        <f aca="false">B13*D13*E13*F13*I13/1000*(100-G13*H13)/100</f>
        <v>126.64695517488</v>
      </c>
      <c r="K13" s="6"/>
    </row>
    <row r="14" customFormat="false" ht="15" hidden="false" customHeight="false" outlineLevel="0" collapsed="false">
      <c r="A14" s="5" t="n">
        <v>0.458333333333333</v>
      </c>
      <c r="B14" s="2" t="n">
        <v>660</v>
      </c>
      <c r="C14" s="2" t="n">
        <v>37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12</v>
      </c>
      <c r="I14" s="2" t="n">
        <v>0.983</v>
      </c>
      <c r="J14" s="6" t="n">
        <f aca="false">B14*D14*E14*F14*I14/1000*(100-G14*H14)/100</f>
        <v>162.38006319744</v>
      </c>
      <c r="K14" s="6"/>
    </row>
    <row r="15" customFormat="false" ht="15" hidden="false" customHeight="false" outlineLevel="0" collapsed="false">
      <c r="A15" s="5" t="n">
        <v>0.5</v>
      </c>
      <c r="B15" s="2" t="n">
        <v>770</v>
      </c>
      <c r="C15" s="2" t="n">
        <v>42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17</v>
      </c>
      <c r="I15" s="2" t="n">
        <v>0.983</v>
      </c>
      <c r="J15" s="6" t="n">
        <f aca="false">B15*D15*E15*F15*I15/1000*(100-G15*H15)/100</f>
        <v>186.49563620688</v>
      </c>
      <c r="K15" s="6"/>
    </row>
    <row r="16" customFormat="false" ht="15" hidden="false" customHeight="false" outlineLevel="0" collapsed="false">
      <c r="A16" s="5" t="n">
        <v>0.541666666666667</v>
      </c>
      <c r="B16" s="2" t="n">
        <v>820</v>
      </c>
      <c r="C16" s="2" t="n">
        <v>44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19</v>
      </c>
      <c r="I16" s="2" t="n">
        <v>0.983</v>
      </c>
      <c r="J16" s="6" t="n">
        <f aca="false">B16*D16*E16*F16*I16/1000*(100-G16*H16)/100</f>
        <v>197.35006863456</v>
      </c>
      <c r="K16" s="6"/>
    </row>
    <row r="17" customFormat="false" ht="15" hidden="false" customHeight="false" outlineLevel="0" collapsed="false">
      <c r="A17" s="5" t="n">
        <v>0.583333333333333</v>
      </c>
      <c r="B17" s="2" t="n">
        <v>760</v>
      </c>
      <c r="C17" s="2" t="n">
        <v>45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20</v>
      </c>
      <c r="I17" s="2" t="n">
        <v>0.983</v>
      </c>
      <c r="J17" s="6" t="n">
        <f aca="false">B17*D17*E17*F17*I17/1000*(100-G17*H17)/100</f>
        <v>182.3279220864</v>
      </c>
      <c r="K17" s="6"/>
    </row>
    <row r="18" customFormat="false" ht="15" hidden="false" customHeight="false" outlineLevel="0" collapsed="false">
      <c r="A18" s="5" t="n">
        <v>0.625</v>
      </c>
      <c r="B18" s="2" t="n">
        <v>660</v>
      </c>
      <c r="C18" s="2" t="n">
        <v>43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18</v>
      </c>
      <c r="I18" s="2" t="n">
        <v>0.983</v>
      </c>
      <c r="J18" s="6" t="n">
        <f aca="false">B18*D18*E18*F18*I18/1000*(100-G18*H18)/100</f>
        <v>159.34807031616</v>
      </c>
      <c r="K18" s="6"/>
    </row>
    <row r="19" customFormat="false" ht="15" hidden="false" customHeight="false" outlineLevel="0" collapsed="false">
      <c r="A19" s="5" t="n">
        <v>0.666666666666667</v>
      </c>
      <c r="B19" s="2" t="n">
        <v>520</v>
      </c>
      <c r="C19" s="2" t="n">
        <v>40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15</v>
      </c>
      <c r="I19" s="2" t="n">
        <v>0.983</v>
      </c>
      <c r="J19" s="6" t="n">
        <f aca="false">B19*D19*E19*F19*I19/1000*(100-G19*H19)/100</f>
        <v>126.7413859296</v>
      </c>
      <c r="K19" s="6"/>
    </row>
    <row r="20" customFormat="false" ht="15" hidden="false" customHeight="false" outlineLevel="0" collapsed="false">
      <c r="A20" s="5" t="n">
        <v>0.708333333333333</v>
      </c>
      <c r="B20" s="2" t="n">
        <v>350</v>
      </c>
      <c r="C20" s="2" t="n">
        <v>36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11</v>
      </c>
      <c r="I20" s="2" t="n">
        <v>0.983</v>
      </c>
      <c r="J20" s="6" t="n">
        <f aca="false">B20*D20*E20*F20*I20/1000*(100-G20*H20)/100</f>
        <v>86.3786187432</v>
      </c>
      <c r="K20" s="6"/>
    </row>
    <row r="21" customFormat="false" ht="15" hidden="false" customHeight="false" outlineLevel="0" collapsed="false">
      <c r="A21" s="5" t="n">
        <v>0.75</v>
      </c>
      <c r="B21" s="2" t="n">
        <v>220</v>
      </c>
      <c r="C21" s="2" t="n">
        <v>30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5</v>
      </c>
      <c r="I21" s="2" t="n">
        <v>0.983</v>
      </c>
      <c r="J21" s="6" t="n">
        <f aca="false">B21*D21*E21*F21*I21/1000*(100-G21*H21)/100</f>
        <v>55.3057960752</v>
      </c>
      <c r="K21" s="6"/>
    </row>
    <row r="22" customFormat="false" ht="15" hidden="false" customHeight="false" outlineLevel="0" collapsed="false">
      <c r="A22" s="5" t="n">
        <v>0.791666666666667</v>
      </c>
      <c r="B22" s="2" t="n">
        <v>130</v>
      </c>
      <c r="C22" s="2" t="n">
        <v>28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3</v>
      </c>
      <c r="I22" s="2" t="n">
        <v>0.983</v>
      </c>
      <c r="J22" s="6" t="n">
        <f aca="false">B22*D22*E22*F22*I22/1000*(100-G22*H22)/100</f>
        <v>32.87976792048</v>
      </c>
      <c r="K22" s="6"/>
    </row>
    <row r="23" customFormat="false" ht="15" hidden="false" customHeight="false" outlineLevel="0" collapsed="false">
      <c r="A23" s="5" t="n">
        <v>0.833333333333333</v>
      </c>
      <c r="B23" s="2" t="n">
        <v>40</v>
      </c>
      <c r="C23" s="2" t="n">
        <v>27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2</v>
      </c>
      <c r="I23" s="2" t="n">
        <v>0.983</v>
      </c>
      <c r="J23" s="6" t="n">
        <f aca="false">B23*D23*E23*F23*I23/1000*(100-G23*H23)/100</f>
        <v>10.14747785856</v>
      </c>
      <c r="K23" s="6"/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26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1</v>
      </c>
      <c r="I24" s="2" t="n">
        <v>0.983</v>
      </c>
      <c r="J24" s="6" t="n">
        <f aca="false">B24*D24*E24*F24*I24/1000*(100-G24*H24)/100</f>
        <v>0</v>
      </c>
      <c r="K24" s="6"/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25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  <c r="K25" s="6"/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25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  <c r="K26" s="6"/>
    </row>
    <row r="27" customFormat="false" ht="15" hidden="false" customHeight="false" outlineLevel="0" collapsed="false">
      <c r="J27" s="7" t="n">
        <f aca="false">SUM(J3:J26)</f>
        <v>1494.43305019056</v>
      </c>
      <c r="K27" s="6"/>
    </row>
    <row r="28" customFormat="false" ht="15" hidden="false" customHeight="false" outlineLevel="0" collapsed="false">
      <c r="J28" s="6"/>
      <c r="K28" s="6"/>
    </row>
    <row r="29" customFormat="false" ht="15" hidden="false" customHeight="false" outlineLevel="0" collapsed="false">
      <c r="B29" s="7" t="n">
        <f aca="false">SUM(B3:B26)*31/1000</f>
        <v>189.41</v>
      </c>
      <c r="I29" s="3" t="s">
        <v>10</v>
      </c>
      <c r="J29" s="7" t="n">
        <f aca="false">J27*31*0.95</f>
        <v>44011.053328112</v>
      </c>
      <c r="K29" s="6"/>
    </row>
    <row r="30" customFormat="false" ht="15" hidden="false" customHeight="false" outlineLevel="0" collapsed="false">
      <c r="B30" s="8" t="n">
        <f aca="false">B29*31</f>
        <v>5871.71</v>
      </c>
      <c r="J30" s="6"/>
      <c r="K30" s="6"/>
    </row>
    <row r="31" customFormat="false" ht="15" hidden="false" customHeight="false" outlineLevel="0" collapsed="false">
      <c r="B31" s="1" t="n">
        <v>5864</v>
      </c>
      <c r="C31" s="1" t="s">
        <v>11</v>
      </c>
      <c r="J31" s="6"/>
      <c r="K31" s="6"/>
    </row>
    <row r="32" customFormat="false" ht="15" hidden="false" customHeight="false" outlineLevel="0" collapsed="false">
      <c r="J32" s="6"/>
      <c r="K32" s="6"/>
    </row>
    <row r="33" customFormat="false" ht="15" hidden="false" customHeight="false" outlineLevel="0" collapsed="false">
      <c r="J33" s="6"/>
      <c r="K33" s="6"/>
    </row>
    <row r="34" customFormat="false" ht="15" hidden="false" customHeight="false" outlineLevel="0" collapsed="false">
      <c r="J34" s="6"/>
      <c r="K34" s="6"/>
    </row>
    <row r="35" customFormat="false" ht="15" hidden="false" customHeight="false" outlineLevel="0" collapsed="false">
      <c r="J35" s="6"/>
      <c r="K35" s="6"/>
    </row>
    <row r="36" customFormat="false" ht="15" hidden="false" customHeight="false" outlineLevel="0" collapsed="false">
      <c r="J36" s="6"/>
      <c r="K36" s="6"/>
    </row>
    <row r="37" customFormat="false" ht="15" hidden="false" customHeight="false" outlineLevel="0" collapsed="false">
      <c r="J37" s="6"/>
      <c r="K37" s="6"/>
    </row>
    <row r="38" customFormat="false" ht="15" hidden="false" customHeight="false" outlineLevel="0" collapsed="false">
      <c r="J38" s="6"/>
      <c r="K38" s="6"/>
    </row>
    <row r="39" customFormat="false" ht="15" hidden="false" customHeight="false" outlineLevel="0" collapsed="false">
      <c r="J39" s="6"/>
      <c r="K39" s="6"/>
    </row>
    <row r="40" customFormat="false" ht="15" hidden="false" customHeight="false" outlineLevel="0" collapsed="false">
      <c r="J40" s="6"/>
      <c r="K4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14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  <c r="K3" s="6"/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13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  <c r="K4" s="6"/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12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  <c r="K5" s="6"/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12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  <c r="K6" s="6"/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12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  <c r="K7" s="6"/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13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  <c r="K8" s="6"/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14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0</v>
      </c>
      <c r="K9" s="6"/>
    </row>
    <row r="10" customFormat="false" ht="15" hidden="false" customHeight="false" outlineLevel="0" collapsed="false">
      <c r="A10" s="5" t="n">
        <v>0.291666666666667</v>
      </c>
      <c r="B10" s="2" t="n">
        <v>50</v>
      </c>
      <c r="C10" s="2" t="n">
        <v>15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12.7609128</v>
      </c>
      <c r="K10" s="6"/>
    </row>
    <row r="11" customFormat="false" ht="15" hidden="false" customHeight="false" outlineLevel="0" collapsed="false">
      <c r="A11" s="5" t="n">
        <v>0.333333333333333</v>
      </c>
      <c r="B11" s="2" t="n">
        <v>170</v>
      </c>
      <c r="C11" s="2" t="n">
        <v>17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43.38710352</v>
      </c>
      <c r="K11" s="6"/>
    </row>
    <row r="12" customFormat="false" ht="15" hidden="false" customHeight="false" outlineLevel="0" collapsed="false">
      <c r="A12" s="5" t="n">
        <v>0.375</v>
      </c>
      <c r="B12" s="2" t="n">
        <v>290</v>
      </c>
      <c r="C12" s="2" t="n">
        <v>20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74.01329424</v>
      </c>
      <c r="K12" s="6"/>
    </row>
    <row r="13" customFormat="false" ht="15" hidden="false" customHeight="false" outlineLevel="0" collapsed="false">
      <c r="A13" s="5" t="n">
        <v>0.416666666666667</v>
      </c>
      <c r="B13" s="2" t="n">
        <v>400</v>
      </c>
      <c r="C13" s="2" t="n">
        <v>26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1</v>
      </c>
      <c r="I13" s="2" t="n">
        <v>0.983</v>
      </c>
      <c r="J13" s="6" t="n">
        <f aca="false">B13*D13*E13*F13*I13/1000*(100-G13*H13)/100</f>
        <v>101.7810404928</v>
      </c>
      <c r="K13" s="6"/>
    </row>
    <row r="14" customFormat="false" ht="15" hidden="false" customHeight="false" outlineLevel="0" collapsed="false">
      <c r="A14" s="5" t="n">
        <v>0.458333333333333</v>
      </c>
      <c r="B14" s="2" t="n">
        <v>520</v>
      </c>
      <c r="C14" s="2" t="n">
        <v>30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5</v>
      </c>
      <c r="I14" s="2" t="n">
        <v>0.983</v>
      </c>
      <c r="J14" s="6" t="n">
        <f aca="false">B14*D14*E14*F14*I14/1000*(100-G14*H14)/100</f>
        <v>130.7227907232</v>
      </c>
      <c r="K14" s="6"/>
    </row>
    <row r="15" customFormat="false" ht="15" hidden="false" customHeight="false" outlineLevel="0" collapsed="false">
      <c r="A15" s="5" t="n">
        <v>0.5</v>
      </c>
      <c r="B15" s="2" t="n">
        <v>620</v>
      </c>
      <c r="C15" s="2" t="n">
        <v>35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10</v>
      </c>
      <c r="I15" s="2" t="n">
        <v>0.983</v>
      </c>
      <c r="J15" s="6" t="n">
        <f aca="false">B15*D15*E15*F15*I15/1000*(100-G15*H15)/100</f>
        <v>153.4882591584</v>
      </c>
      <c r="K15" s="6"/>
    </row>
    <row r="16" customFormat="false" ht="15" hidden="false" customHeight="false" outlineLevel="0" collapsed="false">
      <c r="A16" s="5" t="n">
        <v>0.541666666666667</v>
      </c>
      <c r="B16" s="2" t="n">
        <v>680</v>
      </c>
      <c r="C16" s="2" t="n">
        <v>36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11</v>
      </c>
      <c r="I16" s="2" t="n">
        <v>0.983</v>
      </c>
      <c r="J16" s="6" t="n">
        <f aca="false">B16*D16*E16*F16*I16/1000*(100-G16*H16)/100</f>
        <v>167.82131641536</v>
      </c>
      <c r="K16" s="6"/>
    </row>
    <row r="17" customFormat="false" ht="15" hidden="false" customHeight="false" outlineLevel="0" collapsed="false">
      <c r="A17" s="5" t="n">
        <v>0.583333333333333</v>
      </c>
      <c r="B17" s="2" t="n">
        <v>620</v>
      </c>
      <c r="C17" s="2" t="n">
        <v>35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10</v>
      </c>
      <c r="I17" s="2" t="n">
        <v>0.983</v>
      </c>
      <c r="J17" s="6" t="n">
        <f aca="false">B17*D17*E17*F17*I17/1000*(100-G17*H17)/100</f>
        <v>153.4882591584</v>
      </c>
      <c r="K17" s="6"/>
    </row>
    <row r="18" customFormat="false" ht="15" hidden="false" customHeight="false" outlineLevel="0" collapsed="false">
      <c r="A18" s="5" t="n">
        <v>0.625</v>
      </c>
      <c r="B18" s="2" t="n">
        <v>530</v>
      </c>
      <c r="C18" s="2" t="n">
        <v>32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7</v>
      </c>
      <c r="I18" s="2" t="n">
        <v>0.983</v>
      </c>
      <c r="J18" s="6" t="n">
        <f aca="false">B18*D18*E18*F18*I18/1000*(100-G18*H18)/100</f>
        <v>132.42509649072</v>
      </c>
      <c r="K18" s="6"/>
    </row>
    <row r="19" customFormat="false" ht="15" hidden="false" customHeight="false" outlineLevel="0" collapsed="false">
      <c r="A19" s="5" t="n">
        <v>0.666666666666667</v>
      </c>
      <c r="B19" s="2" t="n">
        <v>410</v>
      </c>
      <c r="C19" s="2" t="n">
        <v>28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3</v>
      </c>
      <c r="I19" s="2" t="n">
        <v>0.983</v>
      </c>
      <c r="J19" s="6" t="n">
        <f aca="false">B19*D19*E19*F19*I19/1000*(100-G19*H19)/100</f>
        <v>103.69772959536</v>
      </c>
      <c r="K19" s="6"/>
    </row>
    <row r="20" customFormat="false" ht="15" hidden="false" customHeight="false" outlineLevel="0" collapsed="false">
      <c r="A20" s="5" t="n">
        <v>0.708333333333333</v>
      </c>
      <c r="B20" s="2" t="n">
        <v>290</v>
      </c>
      <c r="C20" s="2" t="n">
        <v>25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0</v>
      </c>
      <c r="I20" s="2" t="n">
        <v>0.983</v>
      </c>
      <c r="J20" s="6" t="n">
        <f aca="false">B20*D20*E20*F20*I20/1000*(100-G20*H20)/100</f>
        <v>74.01329424</v>
      </c>
      <c r="K20" s="6"/>
    </row>
    <row r="21" customFormat="false" ht="15" hidden="false" customHeight="false" outlineLevel="0" collapsed="false">
      <c r="A21" s="5" t="n">
        <v>0.75</v>
      </c>
      <c r="B21" s="2" t="n">
        <v>175</v>
      </c>
      <c r="C21" s="2" t="n">
        <v>21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B21*D21*E21*F21*I21/1000*(100-G21*H21)/100</f>
        <v>44.6631948</v>
      </c>
      <c r="K21" s="6"/>
    </row>
    <row r="22" customFormat="false" ht="15" hidden="false" customHeight="false" outlineLevel="0" collapsed="false">
      <c r="A22" s="5" t="n">
        <v>0.791666666666667</v>
      </c>
      <c r="B22" s="2" t="n">
        <v>50</v>
      </c>
      <c r="C22" s="2" t="n">
        <v>18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12.7609128</v>
      </c>
      <c r="K22" s="6"/>
    </row>
    <row r="23" customFormat="false" ht="15" hidden="false" customHeight="false" outlineLevel="0" collapsed="false">
      <c r="A23" s="5" t="n">
        <v>0.833333333333333</v>
      </c>
      <c r="B23" s="2" t="n">
        <v>0</v>
      </c>
      <c r="C23" s="2" t="n">
        <v>16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0</v>
      </c>
      <c r="K23" s="6"/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15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  <c r="K24" s="6"/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14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  <c r="K25" s="6"/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13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  <c r="K26" s="6"/>
    </row>
    <row r="27" customFormat="false" ht="15" hidden="false" customHeight="false" outlineLevel="0" collapsed="false">
      <c r="J27" s="7" t="n">
        <f aca="false">SUM(J3:J26)</f>
        <v>1205.02320443424</v>
      </c>
      <c r="K27" s="6"/>
    </row>
    <row r="28" customFormat="false" ht="15" hidden="false" customHeight="false" outlineLevel="0" collapsed="false">
      <c r="J28" s="6"/>
      <c r="K28" s="6"/>
    </row>
    <row r="29" customFormat="false" ht="15" hidden="false" customHeight="false" outlineLevel="0" collapsed="false">
      <c r="B29" s="7" t="n">
        <f aca="false">SUM(B3:B26)*30/1000</f>
        <v>144.15</v>
      </c>
      <c r="I29" s="3" t="s">
        <v>10</v>
      </c>
      <c r="J29" s="7" t="n">
        <f aca="false">J27*30*0.95</f>
        <v>34343.1613263758</v>
      </c>
      <c r="K29" s="6"/>
    </row>
    <row r="30" customFormat="false" ht="15" hidden="false" customHeight="false" outlineLevel="0" collapsed="false">
      <c r="B30" s="8" t="n">
        <f aca="false">B29*30</f>
        <v>4324.5</v>
      </c>
      <c r="J30" s="6"/>
      <c r="K30" s="6"/>
    </row>
    <row r="31" customFormat="false" ht="15" hidden="false" customHeight="false" outlineLevel="0" collapsed="false">
      <c r="B31" s="1" t="n">
        <v>4354</v>
      </c>
      <c r="C31" s="1" t="s">
        <v>11</v>
      </c>
      <c r="J31" s="6"/>
      <c r="K31" s="6"/>
    </row>
    <row r="32" customFormat="false" ht="15" hidden="false" customHeight="false" outlineLevel="0" collapsed="false">
      <c r="J32" s="6"/>
      <c r="K32" s="6"/>
    </row>
    <row r="33" customFormat="false" ht="15" hidden="false" customHeight="false" outlineLevel="0" collapsed="false">
      <c r="J33" s="6"/>
      <c r="K33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  <col collapsed="false" customWidth="true" hidden="false" outlineLevel="0" max="12" min="12" style="2" width="8.86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12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  <c r="K3" s="6"/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11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  <c r="K4" s="6"/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10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  <c r="K5" s="6"/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10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  <c r="K6" s="6"/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10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  <c r="K7" s="6"/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11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  <c r="K8" s="6"/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11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0</v>
      </c>
      <c r="K9" s="6"/>
    </row>
    <row r="10" customFormat="false" ht="15" hidden="false" customHeight="false" outlineLevel="0" collapsed="false">
      <c r="A10" s="5" t="n">
        <v>0.291666666666667</v>
      </c>
      <c r="B10" s="2" t="n">
        <v>0</v>
      </c>
      <c r="C10" s="2" t="n">
        <v>12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0</v>
      </c>
      <c r="K10" s="6"/>
    </row>
    <row r="11" customFormat="false" ht="15" hidden="false" customHeight="false" outlineLevel="0" collapsed="false">
      <c r="A11" s="5" t="n">
        <v>0.333333333333333</v>
      </c>
      <c r="B11" s="2" t="n">
        <v>40</v>
      </c>
      <c r="C11" s="2" t="n">
        <v>13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10.20873024</v>
      </c>
      <c r="K11" s="6"/>
    </row>
    <row r="12" customFormat="false" ht="15" hidden="false" customHeight="false" outlineLevel="0" collapsed="false">
      <c r="A12" s="5" t="n">
        <v>0.375</v>
      </c>
      <c r="B12" s="2" t="n">
        <v>120</v>
      </c>
      <c r="C12" s="2" t="n">
        <v>15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30.62619072</v>
      </c>
      <c r="K12" s="6"/>
    </row>
    <row r="13" customFormat="false" ht="15" hidden="false" customHeight="false" outlineLevel="0" collapsed="false">
      <c r="A13" s="5" t="n">
        <v>0.416666666666667</v>
      </c>
      <c r="B13" s="2" t="n">
        <v>240</v>
      </c>
      <c r="C13" s="2" t="n">
        <v>19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0</v>
      </c>
      <c r="I13" s="2" t="n">
        <v>0.983</v>
      </c>
      <c r="J13" s="6" t="n">
        <f aca="false">B13*D13*E13*F13*I13/1000*(100-G13*H13)/100</f>
        <v>61.25238144</v>
      </c>
      <c r="K13" s="6"/>
    </row>
    <row r="14" customFormat="false" ht="15" hidden="false" customHeight="false" outlineLevel="0" collapsed="false">
      <c r="A14" s="5" t="n">
        <v>0.458333333333333</v>
      </c>
      <c r="B14" s="2" t="n">
        <v>370</v>
      </c>
      <c r="C14" s="2" t="n">
        <v>23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0</v>
      </c>
      <c r="I14" s="2" t="n">
        <v>0.983</v>
      </c>
      <c r="J14" s="6" t="n">
        <f aca="false">B14*D14*E14*F14*I14/1000*(100-G14*H14)/100</f>
        <v>94.43075472</v>
      </c>
      <c r="K14" s="6"/>
    </row>
    <row r="15" customFormat="false" ht="15" hidden="false" customHeight="false" outlineLevel="0" collapsed="false">
      <c r="A15" s="5" t="n">
        <v>0.5</v>
      </c>
      <c r="B15" s="2" t="n">
        <v>470</v>
      </c>
      <c r="C15" s="2" t="n">
        <v>26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1</v>
      </c>
      <c r="I15" s="2" t="n">
        <v>0.983</v>
      </c>
      <c r="J15" s="6" t="n">
        <f aca="false">B15*D15*E15*F15*I15/1000*(100-G15*H15)/100</f>
        <v>119.59272257904</v>
      </c>
      <c r="K15" s="6"/>
    </row>
    <row r="16" customFormat="false" ht="15" hidden="false" customHeight="false" outlineLevel="0" collapsed="false">
      <c r="A16" s="5" t="n">
        <v>0.541666666666667</v>
      </c>
      <c r="B16" s="2" t="n">
        <v>520</v>
      </c>
      <c r="C16" s="2" t="n">
        <v>28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3</v>
      </c>
      <c r="I16" s="2" t="n">
        <v>0.983</v>
      </c>
      <c r="J16" s="6" t="n">
        <f aca="false">B16*D16*E16*F16*I16/1000*(100-G16*H16)/100</f>
        <v>131.51907168192</v>
      </c>
      <c r="K16" s="6"/>
    </row>
    <row r="17" customFormat="false" ht="15" hidden="false" customHeight="false" outlineLevel="0" collapsed="false">
      <c r="A17" s="5" t="n">
        <v>0.583333333333333</v>
      </c>
      <c r="B17" s="2" t="n">
        <v>460</v>
      </c>
      <c r="C17" s="2" t="n">
        <v>27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2</v>
      </c>
      <c r="I17" s="2" t="n">
        <v>0.983</v>
      </c>
      <c r="J17" s="6" t="n">
        <f aca="false">B17*D17*E17*F17*I17/1000*(100-G17*H17)/100</f>
        <v>116.69599537344</v>
      </c>
      <c r="K17" s="6"/>
    </row>
    <row r="18" customFormat="false" ht="15" hidden="false" customHeight="false" outlineLevel="0" collapsed="false">
      <c r="A18" s="5" t="n">
        <v>0.625</v>
      </c>
      <c r="B18" s="2" t="n">
        <v>380</v>
      </c>
      <c r="C18" s="2" t="n">
        <v>25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0</v>
      </c>
      <c r="I18" s="2" t="n">
        <v>0.983</v>
      </c>
      <c r="J18" s="6" t="n">
        <f aca="false">B18*D18*E18*F18*I18/1000*(100-G18*H18)/100</f>
        <v>96.98293728</v>
      </c>
      <c r="K18" s="6"/>
    </row>
    <row r="19" customFormat="false" ht="15" hidden="false" customHeight="false" outlineLevel="0" collapsed="false">
      <c r="A19" s="5" t="n">
        <v>0.666666666666667</v>
      </c>
      <c r="B19" s="2" t="n">
        <v>260</v>
      </c>
      <c r="C19" s="2" t="n">
        <v>23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0</v>
      </c>
      <c r="I19" s="2" t="n">
        <v>0.983</v>
      </c>
      <c r="J19" s="6" t="n">
        <f aca="false">B19*D19*E19*F19*I19/1000*(100-G19*H19)/100</f>
        <v>66.35674656</v>
      </c>
      <c r="K19" s="6"/>
    </row>
    <row r="20" customFormat="false" ht="15" hidden="false" customHeight="false" outlineLevel="0" collapsed="false">
      <c r="A20" s="5" t="n">
        <v>0.708333333333333</v>
      </c>
      <c r="B20" s="2" t="n">
        <v>140</v>
      </c>
      <c r="C20" s="2" t="n">
        <v>20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0</v>
      </c>
      <c r="I20" s="2" t="n">
        <v>0.983</v>
      </c>
      <c r="J20" s="6" t="n">
        <f aca="false">B20*D20*E20*F20*I20/1000*(100-G20*H20)/100</f>
        <v>35.73055584</v>
      </c>
      <c r="K20" s="6"/>
    </row>
    <row r="21" customFormat="false" ht="15" hidden="false" customHeight="false" outlineLevel="0" collapsed="false">
      <c r="A21" s="5" t="n">
        <v>0.75</v>
      </c>
      <c r="B21" s="2" t="n">
        <v>50</v>
      </c>
      <c r="C21" s="2" t="n">
        <v>16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B21*D21*E21*F21*I21/1000*(100-G21*H21)/100</f>
        <v>12.7609128</v>
      </c>
      <c r="K21" s="6"/>
    </row>
    <row r="22" customFormat="false" ht="15" hidden="false" customHeight="false" outlineLevel="0" collapsed="false">
      <c r="A22" s="5" t="n">
        <v>0.791666666666667</v>
      </c>
      <c r="B22" s="2" t="n">
        <v>0</v>
      </c>
      <c r="C22" s="2" t="n">
        <v>15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0</v>
      </c>
      <c r="K22" s="6"/>
    </row>
    <row r="23" customFormat="false" ht="15" hidden="false" customHeight="false" outlineLevel="0" collapsed="false">
      <c r="A23" s="5" t="n">
        <v>0.833333333333333</v>
      </c>
      <c r="B23" s="2" t="n">
        <v>0</v>
      </c>
      <c r="C23" s="2" t="n">
        <v>14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0</v>
      </c>
      <c r="K23" s="6"/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14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  <c r="K24" s="6"/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13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  <c r="K25" s="6"/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12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  <c r="K26" s="6"/>
    </row>
    <row r="27" customFormat="false" ht="15" hidden="false" customHeight="false" outlineLevel="0" collapsed="false">
      <c r="J27" s="7" t="n">
        <f aca="false">SUM(J3:J26)</f>
        <v>776.1569992344</v>
      </c>
      <c r="K27" s="6"/>
    </row>
    <row r="28" customFormat="false" ht="15" hidden="false" customHeight="false" outlineLevel="0" collapsed="false">
      <c r="J28" s="6"/>
      <c r="K28" s="6"/>
    </row>
    <row r="29" customFormat="false" ht="15" hidden="false" customHeight="false" outlineLevel="0" collapsed="false">
      <c r="B29" s="7" t="n">
        <f aca="false">SUM(B3:B26)*31/1000</f>
        <v>94.55</v>
      </c>
      <c r="I29" s="3" t="s">
        <v>10</v>
      </c>
      <c r="J29" s="7" t="n">
        <f aca="false">J27*31*0.95</f>
        <v>22857.8236274531</v>
      </c>
      <c r="K29" s="6"/>
    </row>
    <row r="30" customFormat="false" ht="15" hidden="false" customHeight="false" outlineLevel="0" collapsed="false">
      <c r="B30" s="8" t="n">
        <f aca="false">B29*31</f>
        <v>2931.05</v>
      </c>
      <c r="J30" s="6"/>
      <c r="K30" s="6"/>
    </row>
    <row r="31" customFormat="false" ht="15" hidden="false" customHeight="false" outlineLevel="0" collapsed="false">
      <c r="B31" s="1" t="n">
        <v>2851</v>
      </c>
      <c r="C31" s="1" t="s">
        <v>11</v>
      </c>
      <c r="J31" s="6"/>
      <c r="K31" s="6"/>
    </row>
    <row r="32" customFormat="false" ht="15" hidden="false" customHeight="false" outlineLevel="0" collapsed="false">
      <c r="J32" s="6"/>
      <c r="K32" s="6"/>
    </row>
    <row r="33" customFormat="false" ht="15" hidden="false" customHeight="false" outlineLevel="0" collapsed="false">
      <c r="J33" s="6"/>
      <c r="K33" s="6"/>
    </row>
    <row r="34" customFormat="false" ht="15" hidden="false" customHeight="false" outlineLevel="0" collapsed="false">
      <c r="J34" s="6"/>
      <c r="K3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8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  <c r="K3" s="6"/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8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  <c r="K4" s="6"/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8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  <c r="K5" s="6"/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7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  <c r="K6" s="6"/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7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  <c r="K7" s="6"/>
      <c r="N7" s="2"/>
      <c r="O7" s="2"/>
      <c r="P7" s="2"/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7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  <c r="K8" s="6"/>
      <c r="N8" s="2"/>
      <c r="O8" s="2"/>
      <c r="P8" s="2"/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7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0</v>
      </c>
      <c r="K9" s="6"/>
      <c r="N9" s="2"/>
      <c r="O9" s="2"/>
      <c r="P9" s="2"/>
    </row>
    <row r="10" customFormat="false" ht="15" hidden="false" customHeight="false" outlineLevel="0" collapsed="false">
      <c r="A10" s="5" t="n">
        <v>0.291666666666667</v>
      </c>
      <c r="B10" s="2" t="n">
        <v>0</v>
      </c>
      <c r="C10" s="2" t="n">
        <v>8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0</v>
      </c>
      <c r="K10" s="6"/>
      <c r="N10" s="2"/>
      <c r="O10" s="2"/>
      <c r="P10" s="2"/>
    </row>
    <row r="11" customFormat="false" ht="15" hidden="false" customHeight="false" outlineLevel="0" collapsed="false">
      <c r="A11" s="5" t="n">
        <v>0.333333333333333</v>
      </c>
      <c r="B11" s="2" t="n">
        <v>50</v>
      </c>
      <c r="C11" s="2" t="n">
        <v>10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12.7609128</v>
      </c>
      <c r="K11" s="6"/>
      <c r="N11" s="2"/>
      <c r="O11" s="2"/>
      <c r="P11" s="2"/>
    </row>
    <row r="12" customFormat="false" ht="15" hidden="false" customHeight="false" outlineLevel="0" collapsed="false">
      <c r="A12" s="5" t="n">
        <v>0.375</v>
      </c>
      <c r="B12" s="2" t="n">
        <v>120</v>
      </c>
      <c r="C12" s="2" t="n">
        <v>13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30.62619072</v>
      </c>
      <c r="K12" s="6"/>
      <c r="N12" s="2"/>
      <c r="O12" s="2"/>
      <c r="P12" s="2"/>
    </row>
    <row r="13" customFormat="false" ht="15" hidden="false" customHeight="false" outlineLevel="0" collapsed="false">
      <c r="A13" s="5" t="n">
        <v>0.416666666666667</v>
      </c>
      <c r="B13" s="2" t="n">
        <v>210</v>
      </c>
      <c r="C13" s="2" t="n">
        <v>17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0</v>
      </c>
      <c r="I13" s="2" t="n">
        <v>0.983</v>
      </c>
      <c r="J13" s="6" t="n">
        <f aca="false">B13*D13*E13*F13*I13/1000*(100-G13*H13)/100</f>
        <v>53.59583376</v>
      </c>
      <c r="K13" s="6"/>
      <c r="N13" s="2"/>
      <c r="O13" s="2"/>
      <c r="P13" s="2"/>
    </row>
    <row r="14" customFormat="false" ht="15" hidden="false" customHeight="false" outlineLevel="0" collapsed="false">
      <c r="A14" s="5" t="n">
        <v>0.458333333333333</v>
      </c>
      <c r="B14" s="2" t="n">
        <v>320</v>
      </c>
      <c r="C14" s="2" t="n">
        <v>20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0</v>
      </c>
      <c r="I14" s="2" t="n">
        <v>0.983</v>
      </c>
      <c r="J14" s="6" t="n">
        <f aca="false">B14*D14*E14*F14*I14/1000*(100-G14*H14)/100</f>
        <v>81.66984192</v>
      </c>
      <c r="K14" s="6"/>
      <c r="N14" s="2"/>
      <c r="O14" s="2"/>
      <c r="P14" s="2"/>
    </row>
    <row r="15" customFormat="false" ht="15" hidden="false" customHeight="false" outlineLevel="0" collapsed="false">
      <c r="A15" s="5" t="n">
        <v>0.5</v>
      </c>
      <c r="B15" s="2" t="n">
        <v>410</v>
      </c>
      <c r="C15" s="2" t="n">
        <v>22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0</v>
      </c>
      <c r="I15" s="2" t="n">
        <v>0.983</v>
      </c>
      <c r="J15" s="6" t="n">
        <f aca="false">B15*D15*E15*F15*I15/1000*(100-G15*H15)/100</f>
        <v>104.63948496</v>
      </c>
      <c r="K15" s="6"/>
      <c r="N15" s="2"/>
      <c r="O15" s="2"/>
      <c r="P15" s="2"/>
    </row>
    <row r="16" customFormat="false" ht="15" hidden="false" customHeight="false" outlineLevel="0" collapsed="false">
      <c r="A16" s="5" t="n">
        <v>0.541666666666667</v>
      </c>
      <c r="B16" s="2" t="n">
        <v>440</v>
      </c>
      <c r="C16" s="2" t="n">
        <v>23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0</v>
      </c>
      <c r="I16" s="2" t="n">
        <v>0.983</v>
      </c>
      <c r="J16" s="6" t="n">
        <f aca="false">B16*D16*E16*F16*I16/1000*(100-G16*H16)/100</f>
        <v>112.29603264</v>
      </c>
      <c r="K16" s="6"/>
      <c r="N16" s="2"/>
      <c r="O16" s="2"/>
      <c r="P16" s="2"/>
    </row>
    <row r="17" customFormat="false" ht="15" hidden="false" customHeight="false" outlineLevel="0" collapsed="false">
      <c r="A17" s="5" t="n">
        <v>0.583333333333333</v>
      </c>
      <c r="B17" s="2" t="n">
        <v>400</v>
      </c>
      <c r="C17" s="2" t="n">
        <v>21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0</v>
      </c>
      <c r="I17" s="2" t="n">
        <v>0.983</v>
      </c>
      <c r="J17" s="6" t="n">
        <f aca="false">B17*D17*E17*F17*I17/1000*(100-G17*H17)/100</f>
        <v>102.0873024</v>
      </c>
      <c r="K17" s="6"/>
      <c r="N17" s="2"/>
      <c r="O17" s="2"/>
      <c r="P17" s="2"/>
    </row>
    <row r="18" customFormat="false" ht="15" hidden="false" customHeight="false" outlineLevel="0" collapsed="false">
      <c r="A18" s="5" t="n">
        <v>0.625</v>
      </c>
      <c r="B18" s="2" t="n">
        <v>280</v>
      </c>
      <c r="C18" s="2" t="n">
        <v>18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0</v>
      </c>
      <c r="I18" s="2" t="n">
        <v>0.983</v>
      </c>
      <c r="J18" s="6" t="n">
        <f aca="false">B18*D18*E18*F18*I18/1000*(100-G18*H18)/100</f>
        <v>71.46111168</v>
      </c>
      <c r="K18" s="6"/>
      <c r="N18" s="2"/>
      <c r="O18" s="2"/>
      <c r="P18" s="2"/>
    </row>
    <row r="19" customFormat="false" ht="15" hidden="false" customHeight="false" outlineLevel="0" collapsed="false">
      <c r="A19" s="5" t="n">
        <v>0.666666666666667</v>
      </c>
      <c r="B19" s="2" t="n">
        <v>120</v>
      </c>
      <c r="C19" s="2" t="n">
        <v>15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0</v>
      </c>
      <c r="I19" s="2" t="n">
        <v>0.983</v>
      </c>
      <c r="J19" s="6" t="n">
        <f aca="false">B19*D19*E19*F19*I19/1000*(100-G19*H19)/100</f>
        <v>30.62619072</v>
      </c>
      <c r="K19" s="6"/>
      <c r="N19" s="2"/>
      <c r="O19" s="2"/>
      <c r="P19" s="2"/>
    </row>
    <row r="20" customFormat="false" ht="15" hidden="false" customHeight="false" outlineLevel="0" collapsed="false">
      <c r="A20" s="5" t="n">
        <v>0.708333333333333</v>
      </c>
      <c r="B20" s="2" t="n">
        <v>40</v>
      </c>
      <c r="C20" s="2" t="n">
        <v>12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0</v>
      </c>
      <c r="I20" s="2" t="n">
        <v>0.983</v>
      </c>
      <c r="J20" s="6" t="n">
        <f aca="false">B20*D20*E20*F20*I20/1000*(100-G20*H20)/100</f>
        <v>10.20873024</v>
      </c>
      <c r="K20" s="6"/>
      <c r="N20" s="2"/>
      <c r="O20" s="2"/>
      <c r="P20" s="2"/>
    </row>
    <row r="21" customFormat="false" ht="15" hidden="false" customHeight="false" outlineLevel="0" collapsed="false">
      <c r="A21" s="5" t="n">
        <v>0.75</v>
      </c>
      <c r="B21" s="2" t="n">
        <v>0</v>
      </c>
      <c r="C21" s="2" t="n">
        <v>10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B21*D21*E21*F21*I21/1000*(100-G21*H21)/100</f>
        <v>0</v>
      </c>
      <c r="K21" s="6"/>
      <c r="N21" s="2"/>
      <c r="O21" s="2"/>
      <c r="P21" s="2"/>
    </row>
    <row r="22" customFormat="false" ht="15" hidden="false" customHeight="false" outlineLevel="0" collapsed="false">
      <c r="A22" s="5" t="n">
        <v>0.791666666666667</v>
      </c>
      <c r="B22" s="2" t="n">
        <v>0</v>
      </c>
      <c r="C22" s="2" t="n">
        <v>9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0</v>
      </c>
      <c r="K22" s="6"/>
      <c r="N22" s="2"/>
      <c r="O22" s="2"/>
      <c r="P22" s="2"/>
    </row>
    <row r="23" customFormat="false" ht="15" hidden="false" customHeight="false" outlineLevel="0" collapsed="false">
      <c r="A23" s="5" t="n">
        <v>0.833333333333333</v>
      </c>
      <c r="B23" s="2" t="n">
        <v>0</v>
      </c>
      <c r="C23" s="2" t="n">
        <v>9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0</v>
      </c>
      <c r="K23" s="6"/>
      <c r="N23" s="2"/>
      <c r="O23" s="2"/>
      <c r="P23" s="2"/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8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  <c r="K24" s="6"/>
      <c r="N24" s="2"/>
      <c r="O24" s="2"/>
      <c r="P24" s="2"/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8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  <c r="K25" s="6"/>
      <c r="N25" s="2"/>
      <c r="O25" s="2"/>
      <c r="P25" s="2"/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8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  <c r="K26" s="6"/>
      <c r="N26" s="2"/>
      <c r="O26" s="2"/>
      <c r="P26" s="2"/>
    </row>
    <row r="27" customFormat="false" ht="15" hidden="false" customHeight="false" outlineLevel="0" collapsed="false">
      <c r="J27" s="7" t="n">
        <f aca="false">SUM(J3:J26)</f>
        <v>609.97163184</v>
      </c>
      <c r="K27" s="6"/>
      <c r="N27" s="2"/>
      <c r="O27" s="2"/>
      <c r="P27" s="2"/>
    </row>
    <row r="28" customFormat="false" ht="15" hidden="false" customHeight="false" outlineLevel="0" collapsed="false">
      <c r="J28" s="6"/>
      <c r="K28" s="6"/>
    </row>
    <row r="29" customFormat="false" ht="15" hidden="false" customHeight="false" outlineLevel="0" collapsed="false">
      <c r="B29" s="7" t="n">
        <f aca="false">SUM(B3:B26)*30/1000</f>
        <v>71.7</v>
      </c>
      <c r="I29" s="3" t="s">
        <v>10</v>
      </c>
      <c r="J29" s="7" t="n">
        <f aca="false">J27*30*0.95</f>
        <v>17384.19150744</v>
      </c>
      <c r="K29" s="6"/>
    </row>
    <row r="30" customFormat="false" ht="15" hidden="false" customHeight="false" outlineLevel="0" collapsed="false">
      <c r="B30" s="8" t="n">
        <f aca="false">B29*30</f>
        <v>2151</v>
      </c>
      <c r="J30" s="6"/>
      <c r="K30" s="6"/>
    </row>
    <row r="31" customFormat="false" ht="15" hidden="false" customHeight="false" outlineLevel="0" collapsed="false">
      <c r="B31" s="1" t="n">
        <v>2039</v>
      </c>
      <c r="C31" s="1" t="s">
        <v>11</v>
      </c>
      <c r="J31" s="6"/>
      <c r="K31" s="6"/>
    </row>
    <row r="32" customFormat="false" ht="15" hidden="false" customHeight="false" outlineLevel="0" collapsed="false">
      <c r="J32" s="6"/>
      <c r="K32" s="6"/>
    </row>
    <row r="33" customFormat="false" ht="15" hidden="false" customHeight="false" outlineLevel="0" collapsed="false">
      <c r="J33" s="6"/>
      <c r="K33" s="6"/>
    </row>
    <row r="34" customFormat="false" ht="15" hidden="false" customHeight="false" outlineLevel="0" collapsed="false">
      <c r="J34" s="6"/>
      <c r="K3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2.29"/>
    <col collapsed="false" customWidth="true" hidden="false" outlineLevel="0" max="3" min="3" style="1" width="10.71"/>
    <col collapsed="false" customWidth="true" hidden="false" outlineLevel="0" max="4" min="4" style="2" width="15.42"/>
    <col collapsed="false" customWidth="true" hidden="false" outlineLevel="0" max="5" min="5" style="2" width="12.42"/>
    <col collapsed="false" customWidth="true" hidden="false" outlineLevel="0" max="6" min="6" style="2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3.71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1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/>
    </row>
    <row r="3" customFormat="false" ht="15" hidden="false" customHeight="false" outlineLevel="0" collapsed="false">
      <c r="A3" s="5" t="n">
        <v>0</v>
      </c>
      <c r="B3" s="2" t="n">
        <v>0</v>
      </c>
      <c r="C3" s="2" t="n">
        <v>6</v>
      </c>
      <c r="D3" s="2" t="n">
        <v>2.7</v>
      </c>
      <c r="E3" s="2" t="n">
        <v>0.2404</v>
      </c>
      <c r="F3" s="2" t="n">
        <v>400</v>
      </c>
      <c r="G3" s="2" t="n">
        <v>0.3</v>
      </c>
      <c r="H3" s="2" t="n">
        <f aca="false">(C3-25)+IF(C3&lt;25,-C3+25)</f>
        <v>0</v>
      </c>
      <c r="I3" s="2" t="n">
        <v>0.983</v>
      </c>
      <c r="J3" s="6" t="n">
        <f aca="false">B3*D3*E3*F3*I3/1000*(100-G3*H3)/100</f>
        <v>0</v>
      </c>
    </row>
    <row r="4" customFormat="false" ht="15" hidden="false" customHeight="false" outlineLevel="0" collapsed="false">
      <c r="A4" s="5" t="n">
        <v>0.0416666666666667</v>
      </c>
      <c r="B4" s="2" t="n">
        <v>0</v>
      </c>
      <c r="C4" s="2" t="n">
        <v>6</v>
      </c>
      <c r="D4" s="2" t="n">
        <v>2.7</v>
      </c>
      <c r="E4" s="2" t="n">
        <v>0.2404</v>
      </c>
      <c r="F4" s="2" t="n">
        <v>400</v>
      </c>
      <c r="G4" s="2" t="n">
        <v>0.3</v>
      </c>
      <c r="H4" s="2" t="n">
        <f aca="false">(C4-25)+IF(C4&lt;25,-C4+25)</f>
        <v>0</v>
      </c>
      <c r="I4" s="2" t="n">
        <v>0.983</v>
      </c>
      <c r="J4" s="6" t="n">
        <f aca="false">B4*D4*E4*F4*I4/1000*(100-G4*H4)/100</f>
        <v>0</v>
      </c>
    </row>
    <row r="5" customFormat="false" ht="15" hidden="false" customHeight="false" outlineLevel="0" collapsed="false">
      <c r="A5" s="5" t="n">
        <v>0.0833333333333333</v>
      </c>
      <c r="B5" s="2" t="n">
        <v>0</v>
      </c>
      <c r="C5" s="2" t="n">
        <v>6</v>
      </c>
      <c r="D5" s="2" t="n">
        <v>2.7</v>
      </c>
      <c r="E5" s="2" t="n">
        <v>0.2404</v>
      </c>
      <c r="F5" s="2" t="n">
        <v>400</v>
      </c>
      <c r="G5" s="2" t="n">
        <v>0.3</v>
      </c>
      <c r="H5" s="2" t="n">
        <f aca="false">(C5-25)+IF(C5&lt;25,-C5+25)</f>
        <v>0</v>
      </c>
      <c r="I5" s="2" t="n">
        <v>0.983</v>
      </c>
      <c r="J5" s="6" t="n">
        <f aca="false">B5*D5*E5*F5*I5/1000*(100-G5*H5)/100</f>
        <v>0</v>
      </c>
    </row>
    <row r="6" customFormat="false" ht="15" hidden="false" customHeight="false" outlineLevel="0" collapsed="false">
      <c r="A6" s="5" t="n">
        <v>0.125</v>
      </c>
      <c r="B6" s="2" t="n">
        <v>0</v>
      </c>
      <c r="C6" s="2" t="n">
        <v>5</v>
      </c>
      <c r="D6" s="2" t="n">
        <v>2.7</v>
      </c>
      <c r="E6" s="2" t="n">
        <v>0.2404</v>
      </c>
      <c r="F6" s="2" t="n">
        <v>400</v>
      </c>
      <c r="G6" s="2" t="n">
        <v>0.3</v>
      </c>
      <c r="H6" s="2" t="n">
        <f aca="false">(C6-25)+IF(C6&lt;25,-C6+25)</f>
        <v>0</v>
      </c>
      <c r="I6" s="2" t="n">
        <v>0.983</v>
      </c>
      <c r="J6" s="6" t="n">
        <f aca="false">B6*D6*E6*F6*I6/1000*(100-G6*H6)/100</f>
        <v>0</v>
      </c>
    </row>
    <row r="7" customFormat="false" ht="15" hidden="false" customHeight="false" outlineLevel="0" collapsed="false">
      <c r="A7" s="5" t="n">
        <v>0.166666666666667</v>
      </c>
      <c r="B7" s="2" t="n">
        <v>0</v>
      </c>
      <c r="C7" s="2" t="n">
        <v>5</v>
      </c>
      <c r="D7" s="2" t="n">
        <v>2.7</v>
      </c>
      <c r="E7" s="2" t="n">
        <v>0.2404</v>
      </c>
      <c r="F7" s="2" t="n">
        <v>400</v>
      </c>
      <c r="G7" s="2" t="n">
        <v>0.3</v>
      </c>
      <c r="H7" s="2" t="n">
        <f aca="false">(C7-25)+IF(C7&lt;25,-C7+25)</f>
        <v>0</v>
      </c>
      <c r="I7" s="2" t="n">
        <v>0.983</v>
      </c>
      <c r="J7" s="6" t="n">
        <f aca="false">B7*D7*E7*F7*I7/1000*(100-G7*H7)/100</f>
        <v>0</v>
      </c>
    </row>
    <row r="8" customFormat="false" ht="15" hidden="false" customHeight="false" outlineLevel="0" collapsed="false">
      <c r="A8" s="5" t="n">
        <v>0.208333333333333</v>
      </c>
      <c r="B8" s="2" t="n">
        <v>0</v>
      </c>
      <c r="C8" s="2" t="n">
        <v>5</v>
      </c>
      <c r="D8" s="2" t="n">
        <v>2.7</v>
      </c>
      <c r="E8" s="2" t="n">
        <v>0.2404</v>
      </c>
      <c r="F8" s="2" t="n">
        <v>400</v>
      </c>
      <c r="G8" s="2" t="n">
        <v>0.3</v>
      </c>
      <c r="H8" s="2" t="n">
        <f aca="false">(C8-25)+IF(C8&lt;25,-C8+25)</f>
        <v>0</v>
      </c>
      <c r="I8" s="2" t="n">
        <v>0.983</v>
      </c>
      <c r="J8" s="6" t="n">
        <f aca="false">B8*D8*E8*F8*I8/1000*(100-G8*H8)/100</f>
        <v>0</v>
      </c>
    </row>
    <row r="9" customFormat="false" ht="15" hidden="false" customHeight="false" outlineLevel="0" collapsed="false">
      <c r="A9" s="5" t="n">
        <v>0.25</v>
      </c>
      <c r="B9" s="2" t="n">
        <v>0</v>
      </c>
      <c r="C9" s="2" t="n">
        <v>6</v>
      </c>
      <c r="D9" s="2" t="n">
        <v>2.7</v>
      </c>
      <c r="E9" s="2" t="n">
        <v>0.2404</v>
      </c>
      <c r="F9" s="2" t="n">
        <v>400</v>
      </c>
      <c r="G9" s="2" t="n">
        <v>0.3</v>
      </c>
      <c r="H9" s="2" t="n">
        <f aca="false">(C9-25)+IF(C9&lt;25,-C9+25)</f>
        <v>0</v>
      </c>
      <c r="I9" s="2" t="n">
        <v>0.983</v>
      </c>
      <c r="J9" s="6" t="n">
        <f aca="false">B9*D9*E9*F9*I9/1000*(100-G9*H9)/100</f>
        <v>0</v>
      </c>
    </row>
    <row r="10" customFormat="false" ht="15" hidden="false" customHeight="false" outlineLevel="0" collapsed="false">
      <c r="A10" s="5" t="n">
        <v>0.291666666666667</v>
      </c>
      <c r="B10" s="2" t="n">
        <v>0</v>
      </c>
      <c r="C10" s="2" t="n">
        <v>7</v>
      </c>
      <c r="D10" s="2" t="n">
        <v>2.7</v>
      </c>
      <c r="E10" s="2" t="n">
        <v>0.2404</v>
      </c>
      <c r="F10" s="2" t="n">
        <v>400</v>
      </c>
      <c r="G10" s="2" t="n">
        <v>0.3</v>
      </c>
      <c r="H10" s="2" t="n">
        <f aca="false">(C10-25)+IF(C10&lt;25,-C10+25)</f>
        <v>0</v>
      </c>
      <c r="I10" s="2" t="n">
        <v>0.983</v>
      </c>
      <c r="J10" s="6" t="n">
        <f aca="false">B10*D10*E10*F10*I10/1000*(100-G10*H10)/100</f>
        <v>0</v>
      </c>
    </row>
    <row r="11" customFormat="false" ht="15" hidden="false" customHeight="false" outlineLevel="0" collapsed="false">
      <c r="A11" s="5" t="n">
        <v>0.333333333333333</v>
      </c>
      <c r="B11" s="2" t="n">
        <v>0</v>
      </c>
      <c r="C11" s="2" t="n">
        <v>8</v>
      </c>
      <c r="D11" s="2" t="n">
        <v>2.7</v>
      </c>
      <c r="E11" s="2" t="n">
        <v>0.2404</v>
      </c>
      <c r="F11" s="2" t="n">
        <v>400</v>
      </c>
      <c r="G11" s="2" t="n">
        <v>0.3</v>
      </c>
      <c r="H11" s="2" t="n">
        <f aca="false">(C11-25)+IF(C11&lt;25,-C11+25)</f>
        <v>0</v>
      </c>
      <c r="I11" s="2" t="n">
        <v>0.983</v>
      </c>
      <c r="J11" s="6" t="n">
        <f aca="false">B11*D11*E11*F11*I11/1000*(100-G11*H11)/100</f>
        <v>0</v>
      </c>
    </row>
    <row r="12" customFormat="false" ht="15" hidden="false" customHeight="false" outlineLevel="0" collapsed="false">
      <c r="A12" s="5" t="n">
        <v>0.375</v>
      </c>
      <c r="B12" s="2" t="n">
        <v>60</v>
      </c>
      <c r="C12" s="2" t="n">
        <v>10</v>
      </c>
      <c r="D12" s="2" t="n">
        <v>2.7</v>
      </c>
      <c r="E12" s="2" t="n">
        <v>0.2404</v>
      </c>
      <c r="F12" s="2" t="n">
        <v>400</v>
      </c>
      <c r="G12" s="2" t="n">
        <v>0.3</v>
      </c>
      <c r="H12" s="2" t="n">
        <f aca="false">(C12-25)+IF(C12&lt;25,-C12+25)</f>
        <v>0</v>
      </c>
      <c r="I12" s="2" t="n">
        <v>0.983</v>
      </c>
      <c r="J12" s="6" t="n">
        <f aca="false">B12*D12*E12*F12*I12/1000*(100-G12*H12)/100</f>
        <v>15.31309536</v>
      </c>
    </row>
    <row r="13" customFormat="false" ht="15" hidden="false" customHeight="false" outlineLevel="0" collapsed="false">
      <c r="A13" s="5" t="n">
        <v>0.416666666666667</v>
      </c>
      <c r="B13" s="2" t="n">
        <v>140</v>
      </c>
      <c r="C13" s="2" t="n">
        <v>13</v>
      </c>
      <c r="D13" s="2" t="n">
        <v>2.7</v>
      </c>
      <c r="E13" s="2" t="n">
        <v>0.2404</v>
      </c>
      <c r="F13" s="2" t="n">
        <v>400</v>
      </c>
      <c r="G13" s="2" t="n">
        <v>0.3</v>
      </c>
      <c r="H13" s="2" t="n">
        <f aca="false">(C13-25)+IF(C13&lt;25,-C13+25)</f>
        <v>0</v>
      </c>
      <c r="I13" s="2" t="n">
        <v>0.983</v>
      </c>
      <c r="J13" s="6" t="n">
        <f aca="false">B13*D13*E13*F13*I13/1000*(100-G13*H13)/100</f>
        <v>35.73055584</v>
      </c>
    </row>
    <row r="14" customFormat="false" ht="15" hidden="false" customHeight="false" outlineLevel="0" collapsed="false">
      <c r="A14" s="5" t="n">
        <v>0.458333333333333</v>
      </c>
      <c r="B14" s="2" t="n">
        <v>220</v>
      </c>
      <c r="C14" s="2" t="n">
        <v>16</v>
      </c>
      <c r="D14" s="2" t="n">
        <v>2.7</v>
      </c>
      <c r="E14" s="2" t="n">
        <v>0.2404</v>
      </c>
      <c r="F14" s="2" t="n">
        <v>400</v>
      </c>
      <c r="G14" s="2" t="n">
        <v>0.3</v>
      </c>
      <c r="H14" s="2" t="n">
        <f aca="false">(C14-25)+IF(C14&lt;25,-C14+25)</f>
        <v>0</v>
      </c>
      <c r="I14" s="2" t="n">
        <v>0.983</v>
      </c>
      <c r="J14" s="6" t="n">
        <f aca="false">B14*D14*E14*F14*I14/1000*(100-G14*H14)/100</f>
        <v>56.14801632</v>
      </c>
    </row>
    <row r="15" customFormat="false" ht="15" hidden="false" customHeight="false" outlineLevel="0" collapsed="false">
      <c r="A15" s="5" t="n">
        <v>0.5</v>
      </c>
      <c r="B15" s="2" t="n">
        <v>290</v>
      </c>
      <c r="C15" s="2" t="n">
        <v>17</v>
      </c>
      <c r="D15" s="2" t="n">
        <v>2.7</v>
      </c>
      <c r="E15" s="2" t="n">
        <v>0.2404</v>
      </c>
      <c r="F15" s="2" t="n">
        <v>400</v>
      </c>
      <c r="G15" s="2" t="n">
        <v>0.3</v>
      </c>
      <c r="H15" s="2" t="n">
        <f aca="false">(C15-25)+IF(C15&lt;25,-C15+25)</f>
        <v>0</v>
      </c>
      <c r="I15" s="2" t="n">
        <v>0.983</v>
      </c>
      <c r="J15" s="6" t="n">
        <f aca="false">B15*D15*E15*F15*I15/1000*(100-G15*H15)/100</f>
        <v>74.01329424</v>
      </c>
    </row>
    <row r="16" customFormat="false" ht="15" hidden="false" customHeight="false" outlineLevel="0" collapsed="false">
      <c r="A16" s="5" t="n">
        <v>0.541666666666667</v>
      </c>
      <c r="B16" s="2" t="n">
        <v>330</v>
      </c>
      <c r="C16" s="2" t="n">
        <v>17</v>
      </c>
      <c r="D16" s="2" t="n">
        <v>2.7</v>
      </c>
      <c r="E16" s="2" t="n">
        <v>0.2404</v>
      </c>
      <c r="F16" s="2" t="n">
        <v>400</v>
      </c>
      <c r="G16" s="2" t="n">
        <v>0.3</v>
      </c>
      <c r="H16" s="2" t="n">
        <f aca="false">(C16-25)+IF(C16&lt;25,-C16+25)</f>
        <v>0</v>
      </c>
      <c r="I16" s="2" t="n">
        <v>0.983</v>
      </c>
      <c r="J16" s="6" t="n">
        <f aca="false">B16*D16*E16*F16*I16/1000*(100-G16*H16)/100</f>
        <v>84.22202448</v>
      </c>
    </row>
    <row r="17" customFormat="false" ht="15" hidden="false" customHeight="false" outlineLevel="0" collapsed="false">
      <c r="A17" s="5" t="n">
        <v>0.583333333333333</v>
      </c>
      <c r="B17" s="2" t="n">
        <v>280</v>
      </c>
      <c r="C17" s="2" t="n">
        <v>16</v>
      </c>
      <c r="D17" s="2" t="n">
        <v>2.7</v>
      </c>
      <c r="E17" s="2" t="n">
        <v>0.2404</v>
      </c>
      <c r="F17" s="2" t="n">
        <v>400</v>
      </c>
      <c r="G17" s="2" t="n">
        <v>0.3</v>
      </c>
      <c r="H17" s="2" t="n">
        <f aca="false">(C17-25)+IF(C17&lt;25,-C17+25)</f>
        <v>0</v>
      </c>
      <c r="I17" s="2" t="n">
        <v>0.983</v>
      </c>
      <c r="J17" s="6" t="n">
        <f aca="false">B17*D17*E17*F17*I17/1000*(100-G17*H17)/100</f>
        <v>71.46111168</v>
      </c>
    </row>
    <row r="18" customFormat="false" ht="15" hidden="false" customHeight="false" outlineLevel="0" collapsed="false">
      <c r="A18" s="5" t="n">
        <v>0.625</v>
      </c>
      <c r="B18" s="2" t="n">
        <v>180</v>
      </c>
      <c r="C18" s="2" t="n">
        <v>13</v>
      </c>
      <c r="D18" s="2" t="n">
        <v>2.7</v>
      </c>
      <c r="E18" s="2" t="n">
        <v>0.2404</v>
      </c>
      <c r="F18" s="2" t="n">
        <v>400</v>
      </c>
      <c r="G18" s="2" t="n">
        <v>0.3</v>
      </c>
      <c r="H18" s="2" t="n">
        <f aca="false">(C18-25)+IF(C18&lt;25,-C18+25)</f>
        <v>0</v>
      </c>
      <c r="I18" s="2" t="n">
        <v>0.983</v>
      </c>
      <c r="J18" s="6" t="n">
        <f aca="false">B18*D18*E18*F18*I18/1000*(100-G18*H18)/100</f>
        <v>45.93928608</v>
      </c>
    </row>
    <row r="19" customFormat="false" ht="15" hidden="false" customHeight="false" outlineLevel="0" collapsed="false">
      <c r="A19" s="5" t="n">
        <v>0.666666666666667</v>
      </c>
      <c r="B19" s="2" t="n">
        <v>70</v>
      </c>
      <c r="C19" s="2" t="n">
        <v>11</v>
      </c>
      <c r="D19" s="2" t="n">
        <v>2.7</v>
      </c>
      <c r="E19" s="2" t="n">
        <v>0.2404</v>
      </c>
      <c r="F19" s="2" t="n">
        <v>400</v>
      </c>
      <c r="G19" s="2" t="n">
        <v>0.3</v>
      </c>
      <c r="H19" s="2" t="n">
        <f aca="false">(C19-25)+IF(C19&lt;25,-C19+25)</f>
        <v>0</v>
      </c>
      <c r="I19" s="2" t="n">
        <v>0.983</v>
      </c>
      <c r="J19" s="6" t="n">
        <f aca="false">B19*D19*E19*F19*I19/1000*(100-G19*H19)/100</f>
        <v>17.86527792</v>
      </c>
    </row>
    <row r="20" customFormat="false" ht="15" hidden="false" customHeight="false" outlineLevel="0" collapsed="false">
      <c r="A20" s="5" t="n">
        <v>0.708333333333333</v>
      </c>
      <c r="B20" s="2" t="n">
        <v>0</v>
      </c>
      <c r="C20" s="2" t="n">
        <v>8</v>
      </c>
      <c r="D20" s="2" t="n">
        <v>2.7</v>
      </c>
      <c r="E20" s="2" t="n">
        <v>0.2404</v>
      </c>
      <c r="F20" s="2" t="n">
        <v>400</v>
      </c>
      <c r="G20" s="2" t="n">
        <v>0.3</v>
      </c>
      <c r="H20" s="2" t="n">
        <f aca="false">(C20-25)+IF(C20&lt;25,-C20+25)</f>
        <v>0</v>
      </c>
      <c r="I20" s="2" t="n">
        <v>0.983</v>
      </c>
      <c r="J20" s="6" t="n">
        <f aca="false">B20*D20*E20*F20*I20/1000*(100-G20*H20)/100</f>
        <v>0</v>
      </c>
    </row>
    <row r="21" customFormat="false" ht="15" hidden="false" customHeight="false" outlineLevel="0" collapsed="false">
      <c r="A21" s="5" t="n">
        <v>0.75</v>
      </c>
      <c r="B21" s="2" t="n">
        <v>0</v>
      </c>
      <c r="C21" s="2" t="n">
        <v>7</v>
      </c>
      <c r="D21" s="2" t="n">
        <v>2.7</v>
      </c>
      <c r="E21" s="2" t="n">
        <v>0.2404</v>
      </c>
      <c r="F21" s="2" t="n">
        <v>400</v>
      </c>
      <c r="G21" s="2" t="n">
        <v>0.3</v>
      </c>
      <c r="H21" s="2" t="n">
        <f aca="false">(C21-25)+IF(C21&lt;25,-C21+25)</f>
        <v>0</v>
      </c>
      <c r="I21" s="2" t="n">
        <v>0.983</v>
      </c>
      <c r="J21" s="6" t="n">
        <f aca="false">B21*D21*E21*F21*I21/1000*(100-G21*H21)/100</f>
        <v>0</v>
      </c>
    </row>
    <row r="22" customFormat="false" ht="15" hidden="false" customHeight="false" outlineLevel="0" collapsed="false">
      <c r="A22" s="5" t="n">
        <v>0.791666666666667</v>
      </c>
      <c r="B22" s="2" t="n">
        <v>0</v>
      </c>
      <c r="C22" s="2" t="n">
        <v>7</v>
      </c>
      <c r="D22" s="2" t="n">
        <v>2.7</v>
      </c>
      <c r="E22" s="2" t="n">
        <v>0.2404</v>
      </c>
      <c r="F22" s="2" t="n">
        <v>400</v>
      </c>
      <c r="G22" s="2" t="n">
        <v>0.3</v>
      </c>
      <c r="H22" s="2" t="n">
        <f aca="false">(C22-25)+IF(C22&lt;25,-C22+25)</f>
        <v>0</v>
      </c>
      <c r="I22" s="2" t="n">
        <v>0.983</v>
      </c>
      <c r="J22" s="6" t="n">
        <f aca="false">B22*D22*E22*F22*I22/1000*(100-G22*H22)/100</f>
        <v>0</v>
      </c>
    </row>
    <row r="23" customFormat="false" ht="15" hidden="false" customHeight="false" outlineLevel="0" collapsed="false">
      <c r="A23" s="5" t="n">
        <v>0.833333333333333</v>
      </c>
      <c r="B23" s="2" t="n">
        <v>0</v>
      </c>
      <c r="C23" s="2" t="n">
        <v>7</v>
      </c>
      <c r="D23" s="2" t="n">
        <v>2.7</v>
      </c>
      <c r="E23" s="2" t="n">
        <v>0.2404</v>
      </c>
      <c r="F23" s="2" t="n">
        <v>400</v>
      </c>
      <c r="G23" s="2" t="n">
        <v>0.3</v>
      </c>
      <c r="H23" s="2" t="n">
        <f aca="false">(C23-25)+IF(C23&lt;25,-C23+25)</f>
        <v>0</v>
      </c>
      <c r="I23" s="2" t="n">
        <v>0.983</v>
      </c>
      <c r="J23" s="6" t="n">
        <f aca="false">B23*D23*E23*F23*I23/1000*(100-G23*H23)/100</f>
        <v>0</v>
      </c>
    </row>
    <row r="24" customFormat="false" ht="15" hidden="false" customHeight="false" outlineLevel="0" collapsed="false">
      <c r="A24" s="5" t="n">
        <v>0.875</v>
      </c>
      <c r="B24" s="2" t="n">
        <v>0</v>
      </c>
      <c r="C24" s="2" t="n">
        <v>6</v>
      </c>
      <c r="D24" s="2" t="n">
        <v>2.7</v>
      </c>
      <c r="E24" s="2" t="n">
        <v>0.2404</v>
      </c>
      <c r="F24" s="2" t="n">
        <v>400</v>
      </c>
      <c r="G24" s="2" t="n">
        <v>0.3</v>
      </c>
      <c r="H24" s="2" t="n">
        <f aca="false">(C24-25)+IF(C24&lt;25,-C24+25)</f>
        <v>0</v>
      </c>
      <c r="I24" s="2" t="n">
        <v>0.983</v>
      </c>
      <c r="J24" s="6" t="n">
        <f aca="false">B24*D24*E24*F24*I24/1000*(100-G24*H24)/100</f>
        <v>0</v>
      </c>
    </row>
    <row r="25" customFormat="false" ht="15" hidden="false" customHeight="false" outlineLevel="0" collapsed="false">
      <c r="A25" s="5" t="n">
        <v>0.916666666666667</v>
      </c>
      <c r="B25" s="2" t="n">
        <v>0</v>
      </c>
      <c r="C25" s="2" t="n">
        <v>6</v>
      </c>
      <c r="D25" s="2" t="n">
        <v>2.7</v>
      </c>
      <c r="E25" s="2" t="n">
        <v>0.2404</v>
      </c>
      <c r="F25" s="2" t="n">
        <v>400</v>
      </c>
      <c r="G25" s="2" t="n">
        <v>0.3</v>
      </c>
      <c r="H25" s="2" t="n">
        <f aca="false">(C25-25)+IF(C25&lt;25,-C25+25)</f>
        <v>0</v>
      </c>
      <c r="I25" s="2" t="n">
        <v>0.983</v>
      </c>
      <c r="J25" s="6" t="n">
        <f aca="false">B25*D25*E25*F25*I25/1000*(100-G25*H25)/100</f>
        <v>0</v>
      </c>
    </row>
    <row r="26" customFormat="false" ht="15" hidden="false" customHeight="false" outlineLevel="0" collapsed="false">
      <c r="A26" s="5" t="n">
        <v>0.958333333333333</v>
      </c>
      <c r="B26" s="2" t="n">
        <v>0</v>
      </c>
      <c r="C26" s="2" t="n">
        <v>6</v>
      </c>
      <c r="D26" s="2" t="n">
        <v>2.7</v>
      </c>
      <c r="E26" s="2" t="n">
        <v>0.2404</v>
      </c>
      <c r="F26" s="2" t="n">
        <v>400</v>
      </c>
      <c r="G26" s="2" t="n">
        <v>0.3</v>
      </c>
      <c r="H26" s="2" t="n">
        <f aca="false">(C26-25)+IF(C26&lt;25,-C26+25)</f>
        <v>0</v>
      </c>
      <c r="I26" s="2" t="n">
        <v>0.983</v>
      </c>
      <c r="J26" s="6" t="n">
        <f aca="false">B26*D26*E26*F26*I26/1000*(100-G26*H26)/100</f>
        <v>0</v>
      </c>
    </row>
    <row r="27" customFormat="false" ht="15" hidden="false" customHeight="false" outlineLevel="0" collapsed="false">
      <c r="J27" s="7" t="n">
        <f aca="false">SUM(J3:J26)</f>
        <v>400.69266192</v>
      </c>
    </row>
    <row r="29" customFormat="false" ht="15" hidden="false" customHeight="false" outlineLevel="0" collapsed="false">
      <c r="B29" s="7" t="n">
        <f aca="false">SUM(B3:B26)*31/1000</f>
        <v>48.67</v>
      </c>
      <c r="I29" s="3" t="s">
        <v>10</v>
      </c>
      <c r="J29" s="7" t="n">
        <f aca="false">J27*31*0.95</f>
        <v>11800.398893544</v>
      </c>
    </row>
    <row r="30" customFormat="false" ht="15" hidden="false" customHeight="false" outlineLevel="0" collapsed="false">
      <c r="B30" s="8" t="n">
        <f aca="false">B29*31</f>
        <v>1508.77</v>
      </c>
    </row>
    <row r="31" customFormat="false" ht="15" hidden="false" customHeight="false" outlineLevel="0" collapsed="false">
      <c r="B31" s="1" t="n">
        <v>1568</v>
      </c>
      <c r="C3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8.5703125" defaultRowHeight="15" customHeight="false" zeroHeight="false" outlineLevelRow="0" outlineLevelCol="0"/>
  <cols>
    <col collapsed="false" customWidth="false" hidden="false" outlineLevel="0" max="1" min="1" style="2" width="8.57"/>
    <col collapsed="false" customWidth="true" hidden="false" outlineLevel="0" max="2" min="2" style="2" width="18.71"/>
    <col collapsed="false" customWidth="true" hidden="false" outlineLevel="0" max="3" min="3" style="2" width="14.42"/>
    <col collapsed="false" customWidth="true" hidden="false" outlineLevel="0" max="4" min="4" style="2" width="8.86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/>
      <c r="D1" s="3"/>
    </row>
    <row r="2" customFormat="false" ht="15" hidden="false" customHeight="false" outlineLevel="0" collapsed="false">
      <c r="A2" s="2" t="s">
        <v>14</v>
      </c>
      <c r="B2" s="6" t="n">
        <f aca="false">OCAK!$J$29</f>
        <v>15859.134818712</v>
      </c>
      <c r="C2" s="6"/>
      <c r="E2" s="10"/>
    </row>
    <row r="3" customFormat="false" ht="15" hidden="false" customHeight="false" outlineLevel="0" collapsed="false">
      <c r="A3" s="2" t="s">
        <v>15</v>
      </c>
      <c r="B3" s="6" t="n">
        <f aca="false">ŞUBAT!$J$29</f>
        <v>21023.476228872</v>
      </c>
      <c r="C3" s="6"/>
      <c r="E3" s="10"/>
    </row>
    <row r="4" customFormat="false" ht="15" hidden="false" customHeight="false" outlineLevel="0" collapsed="false">
      <c r="A4" s="2" t="s">
        <v>16</v>
      </c>
      <c r="B4" s="6" t="n">
        <f aca="false">MART!$J$29</f>
        <v>25446.7958186617</v>
      </c>
      <c r="C4" s="6"/>
      <c r="E4" s="10"/>
    </row>
    <row r="5" customFormat="false" ht="15" hidden="false" customHeight="false" outlineLevel="0" collapsed="false">
      <c r="A5" s="2" t="s">
        <v>17</v>
      </c>
      <c r="B5" s="6" t="n">
        <f aca="false">NİSAN!$J$29</f>
        <v>35202.915065363</v>
      </c>
      <c r="C5" s="6"/>
      <c r="E5" s="10"/>
    </row>
    <row r="6" customFormat="false" ht="15" hidden="false" customHeight="false" outlineLevel="0" collapsed="false">
      <c r="A6" s="2" t="s">
        <v>18</v>
      </c>
      <c r="B6" s="6" t="n">
        <f aca="false">MAYIS!$J$29</f>
        <v>42679.4121357749</v>
      </c>
      <c r="C6" s="6"/>
      <c r="E6" s="10"/>
    </row>
    <row r="7" customFormat="false" ht="15" hidden="false" customHeight="false" outlineLevel="0" collapsed="false">
      <c r="A7" s="2" t="s">
        <v>19</v>
      </c>
      <c r="B7" s="6" t="n">
        <f aca="false">HAZİRAN!$J$29</f>
        <v>47680.8367587451</v>
      </c>
      <c r="C7" s="6"/>
      <c r="E7" s="10"/>
    </row>
    <row r="8" customFormat="false" ht="15" hidden="false" customHeight="false" outlineLevel="0" collapsed="false">
      <c r="A8" s="2" t="s">
        <v>20</v>
      </c>
      <c r="B8" s="6" t="n">
        <f aca="false">TEMMUZ!$J$29</f>
        <v>50252.4496588155</v>
      </c>
      <c r="C8" s="6"/>
      <c r="E8" s="10"/>
    </row>
    <row r="9" customFormat="false" ht="15" hidden="false" customHeight="false" outlineLevel="0" collapsed="false">
      <c r="A9" s="2" t="s">
        <v>21</v>
      </c>
      <c r="B9" s="6" t="n">
        <f aca="false">AĞUSTOS!$J$29</f>
        <v>44011.053328112</v>
      </c>
      <c r="C9" s="6"/>
      <c r="E9" s="10"/>
    </row>
    <row r="10" customFormat="false" ht="15" hidden="false" customHeight="false" outlineLevel="0" collapsed="false">
      <c r="A10" s="2" t="s">
        <v>22</v>
      </c>
      <c r="B10" s="6" t="n">
        <f aca="false">EYLÜL!$J$29</f>
        <v>34343.1613263758</v>
      </c>
      <c r="C10" s="6"/>
      <c r="E10" s="10"/>
    </row>
    <row r="11" customFormat="false" ht="15" hidden="false" customHeight="false" outlineLevel="0" collapsed="false">
      <c r="A11" s="2" t="s">
        <v>23</v>
      </c>
      <c r="B11" s="6" t="n">
        <f aca="false">EKİM!$J$29</f>
        <v>22857.8236274531</v>
      </c>
      <c r="C11" s="6"/>
      <c r="E11" s="10"/>
    </row>
    <row r="12" customFormat="false" ht="15" hidden="false" customHeight="false" outlineLevel="0" collapsed="false">
      <c r="A12" s="2" t="s">
        <v>24</v>
      </c>
      <c r="B12" s="6" t="n">
        <f aca="false">KASIM!$J$29</f>
        <v>17384.19150744</v>
      </c>
      <c r="C12" s="6"/>
      <c r="E12" s="10"/>
    </row>
    <row r="13" customFormat="false" ht="15" hidden="false" customHeight="false" outlineLevel="0" collapsed="false">
      <c r="A13" s="2" t="s">
        <v>25</v>
      </c>
      <c r="B13" s="6" t="n">
        <f aca="false">ARALIK!$J$29</f>
        <v>11800.398893544</v>
      </c>
      <c r="C13" s="6"/>
      <c r="E13" s="10"/>
    </row>
    <row r="15" customFormat="false" ht="15" hidden="false" customHeight="false" outlineLevel="0" collapsed="false">
      <c r="A15" s="3" t="s">
        <v>10</v>
      </c>
      <c r="B15" s="7" t="n">
        <f aca="false">SUM(B2:B13)</f>
        <v>368541.649167869</v>
      </c>
      <c r="C15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LibreOffice/25.8.5.2$Windows_X86_64 LibreOffice_project/9c8b85f387cc00a89945a79c9e6239f32e450ac2</Application>
  <AppVersion>15.0000</AppVersion>
  <Company>Sakarya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2020-03-02T18:05:06Z</dcterms:created>
  <dc:creator>BAYRAK</dc:creator>
  <dc:description/>
  <dc:language>tr-TR</dc:language>
  <cp:lastModifiedBy/>
  <dcterms:modified xsi:type="dcterms:W3CDTF">2026-05-12T11:56:28Z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